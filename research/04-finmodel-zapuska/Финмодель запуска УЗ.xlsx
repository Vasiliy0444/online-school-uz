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екомпозиция цикла" sheetId="1" state="visible" r:id="rId3"/>
    <sheet name="Деньги по месяцам" sheetId="2" state="visible" r:id="rId4"/>
    <sheet name="Разбор исходника" sheetId="3" state="visible" r:id="rId5"/>
    <sheet name="Источники цифр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<sst xmlns="http://schemas.openxmlformats.org/spreadsheetml/2006/main" count="944" uniqueCount="500">
  <si>
    <t xml:space="preserve">Финмодель онлайн-школы в Узбекистане — один цикл</t>
  </si>
  <si>
    <t xml:space="preserve">Холодный запуск с таргета → дожим ИИ-продавцом и менеджером → тёплый запуск в Telegram-канале. Все суммы — в долларах США.</t>
  </si>
  <si>
    <t xml:space="preserve">Жёлтые ячейки с синими цифрами — вводные: меняй их</t>
  </si>
  <si>
    <t xml:space="preserve">Белые — формулы, не трогай. Три колонки — три сценария. Касса по месяцам — лист «Деньги по месяцам», откуда цифры — лист «Источники цифр», что было не так в старом файле — «Разбор исходника».</t>
  </si>
  <si>
    <t xml:space="preserve">Контекст — бриф рынка от 15.09.2026 (research/01-brif-rynka). Решение «идти / не идти» не принято: модель показывает, при каких цифрах цикл окупается. Ссылка на источник каждой цифры — в колонке H.</t>
  </si>
  <si>
    <t xml:space="preserve">Показатель</t>
  </si>
  <si>
    <t xml:space="preserve">Ед.</t>
  </si>
  <si>
    <t xml:space="preserve">Минимум</t>
  </si>
  <si>
    <t xml:space="preserve">Оптимум</t>
  </si>
  <si>
    <t xml:space="preserve">Максимум</t>
  </si>
  <si>
    <t xml:space="preserve">Как считается / откуда цифра</t>
  </si>
  <si>
    <t xml:space="preserve">Источник</t>
  </si>
  <si>
    <t xml:space="preserve">ИТОГ ЦИКЛА</t>
  </si>
  <si>
    <t xml:space="preserve">Выручка по договорам: холодный + тёплый запуск</t>
  </si>
  <si>
    <t xml:space="preserve">$</t>
  </si>
  <si>
    <t xml:space="preserve">Сколько продали в деньгах — до комиссий и рассрочек</t>
  </si>
  <si>
    <t xml:space="preserve">Съели эквайринг, комиссия рассрочки, невыплаты, возвраты</t>
  </si>
  <si>
    <t xml:space="preserve">Расшифровка — в блоке 7</t>
  </si>
  <si>
    <t xml:space="preserve">Чистые деньги за цикл</t>
  </si>
  <si>
    <t xml:space="preserve">Выручка минус потери</t>
  </si>
  <si>
    <t xml:space="preserve">   из них пришло сразу, в месяц продаж</t>
  </si>
  <si>
    <t xml:space="preserve">Полная оплата, партнёрская рассрочка, первый платёж своей рассрочки — минус возвраты</t>
  </si>
  <si>
    <t xml:space="preserve">   из них придёт позже по своей рассрочке</t>
  </si>
  <si>
    <t xml:space="preserve">Ежемесячные платежи учеников — по месяцам на листе «Деньги по месяцам»</t>
  </si>
  <si>
    <t xml:space="preserve">Расходы цикла</t>
  </si>
  <si>
    <t xml:space="preserve">Реклама, разовые вложения, ИИ, менеджер, команда, сервисы, кураторы, налог</t>
  </si>
  <si>
    <t xml:space="preserve">ПРИБЫЛЬ ЦИКЛА</t>
  </si>
  <si>
    <t xml:space="preserve">Чистые деньги минус расходы</t>
  </si>
  <si>
    <t xml:space="preserve">Прибыль без разовых вложений</t>
  </si>
  <si>
    <t xml:space="preserve">Сколько даст повторный цикл, когда ИИ-продавец уже настроен</t>
  </si>
  <si>
    <t xml:space="preserve">Прибыль школы после доли эксперта / партнёра</t>
  </si>
  <si>
    <t xml:space="preserve">Собственнику после налога на дивиденды</t>
  </si>
  <si>
    <t xml:space="preserve">Если выводить прибыль из ООО нерезиденту</t>
  </si>
  <si>
    <t xml:space="preserve">ROMI: прибыль ÷ реклама</t>
  </si>
  <si>
    <t xml:space="preserve">x</t>
  </si>
  <si>
    <t xml:space="preserve">Сколько прибыли на 1 $ рекламы</t>
  </si>
  <si>
    <t xml:space="preserve">Продаж за цикл</t>
  </si>
  <si>
    <t xml:space="preserve">шт</t>
  </si>
  <si>
    <t xml:space="preserve">Холодный + тёплый запуск</t>
  </si>
  <si>
    <t xml:space="preserve">Цена холодной регистрации сейчас</t>
  </si>
  <si>
    <t xml:space="preserve">Из блока 1</t>
  </si>
  <si>
    <t xml:space="preserve">Предельная цена регистрации</t>
  </si>
  <si>
    <t xml:space="preserve">Дороже этой цены реклама не отбивается, даже без учёта команды и окладов</t>
  </si>
  <si>
    <t xml:space="preserve">Рекламный бюджет, чтобы выйти в ноль</t>
  </si>
  <si>
    <t xml:space="preserve">При текущих конверсиях. Приближённо — см. блок 9</t>
  </si>
  <si>
    <t xml:space="preserve">Нужно вложить до первых продаж</t>
  </si>
  <si>
    <t xml:space="preserve">Реклама + разовые вложения + команда + первый месяц окладов и сервисов</t>
  </si>
  <si>
    <t xml:space="preserve">Самая низкая точка кассы по месяцам</t>
  </si>
  <si>
    <t xml:space="preserve">Минимум нарастающего итога на листе «Деньги по месяцам». Внутри месяца 1 разрыв больше — см. строку выше</t>
  </si>
  <si>
    <t xml:space="preserve">0. ПРОДУКТ И ЦЕНЫ</t>
  </si>
  <si>
    <t xml:space="preserve">Цена курса в холодном запуске</t>
  </si>
  <si>
    <t xml:space="preserve">Чек 300 $ — по ответу заказчика. У конкурентов: фриланс 170–595 $, ИИ-академии 255–510 $; база брифа — 212 $</t>
  </si>
  <si>
    <t xml:space="preserve">бриф рынка</t>
  </si>
  <si>
    <t xml:space="preserve">Цена курса в тёплом запуске</t>
  </si>
  <si>
    <t xml:space="preserve">Можно поставить спеццену для подписчиков канала</t>
  </si>
  <si>
    <t xml:space="preserve">оценка</t>
  </si>
  <si>
    <t xml:space="preserve">Апсейл: докупили старший тариф или сопровождение, % покупателей</t>
  </si>
  <si>
    <t xml:space="preserve">%</t>
  </si>
  <si>
    <t xml:space="preserve">Рычаг «допродать». По умолчанию 0 — впиши, если будет старший тариф</t>
  </si>
  <si>
    <t xml:space="preserve">Цена апсейла (доплата)</t>
  </si>
  <si>
    <t xml:space="preserve">Курс: сум за 1 $ (для справки)</t>
  </si>
  <si>
    <t xml:space="preserve">сум</t>
  </si>
  <si>
    <t xml:space="preserve">ЦБ РУз на 15.09.2026 — 11 765 сум</t>
  </si>
  <si>
    <t xml:space="preserve">cbu.uz</t>
  </si>
  <si>
    <t xml:space="preserve">Цена курса в сумах</t>
  </si>
  <si>
    <t xml:space="preserve">Для объявлений и лендинга</t>
  </si>
  <si>
    <t xml:space="preserve">1. ХОЛОДНЫЙ ТРАФИК — таргет Instagram / Facebook</t>
  </si>
  <si>
    <t xml:space="preserve">Рекламный бюджет на холодный запуск</t>
  </si>
  <si>
    <t xml:space="preserve">Главный рычаг: поменяй — пересчитается весь цикл. Для Telegram-посевов подбери CPM, CTR и конверсию под свою цену регистрации</t>
  </si>
  <si>
    <t xml:space="preserve">CPM — цена 1 000 показов</t>
  </si>
  <si>
    <t xml:space="preserve">Meta в УЗ: 1–3 $ на широкую аудиторию, в Instagram 3–8 $</t>
  </si>
  <si>
    <t xml:space="preserve">aksanov.digital</t>
  </si>
  <si>
    <t xml:space="preserve">Показы</t>
  </si>
  <si>
    <t xml:space="preserve">Бюджет ÷ CPM × 1 000</t>
  </si>
  <si>
    <t xml:space="preserve">CTR — кликнули на рекламу</t>
  </si>
  <si>
    <t xml:space="preserve">Хорошим в Instagram УЗ считают 1,5–3%</t>
  </si>
  <si>
    <t xml:space="preserve">101digital.uz</t>
  </si>
  <si>
    <t xml:space="preserve">Клики</t>
  </si>
  <si>
    <t xml:space="preserve">Показы × CTR</t>
  </si>
  <si>
    <t xml:space="preserve">Цена клика (CPC)</t>
  </si>
  <si>
    <t xml:space="preserve">Бюджет ÷ клики</t>
  </si>
  <si>
    <t xml:space="preserve">Конверсия клик → регистрация (старт бота)</t>
  </si>
  <si>
    <t xml:space="preserve">Со страницы регистрации регистрируются 80–90%, с Telegram Ads на бота — 19–21% кликнувших; с Meta через лендинг и бота ниже</t>
  </si>
  <si>
    <t xml:space="preserve">vc.ru</t>
  </si>
  <si>
    <t xml:space="preserve">Регистрации</t>
  </si>
  <si>
    <t xml:space="preserve">чел</t>
  </si>
  <si>
    <t xml:space="preserve">Клики × конверсия</t>
  </si>
  <si>
    <t xml:space="preserve">Цена регистрации (CPL)</t>
  </si>
  <si>
    <t xml:space="preserve">Бюджет ÷ регистрации. Лид в образовании УЗ — 2,3–3,6 $, в сезон июль–сентябрь — 10–12 $; база брифа — 6 $</t>
  </si>
  <si>
    <t xml:space="preserve">2. ХОЛОДНЫЙ ЭФИР — вебинар или марафон</t>
  </si>
  <si>
    <t xml:space="preserve">Формат (метка для себя)</t>
  </si>
  <si>
    <t xml:space="preserve">Вебинар</t>
  </si>
  <si>
    <t xml:space="preserve">Выбери из списка. На расчёт не влияет — меняй проценты ниже</t>
  </si>
  <si>
    <t xml:space="preserve">Дошли на эфир (день 1), % регистраций</t>
  </si>
  <si>
    <t xml:space="preserve">В среднем 15–20% (РФ); 20–30% — норма, 50% — хорошо (гайд СНГ); база брифа — 35%</t>
  </si>
  <si>
    <t xml:space="preserve">sostav.ru</t>
  </si>
  <si>
    <t xml:space="preserve">Досидели до продажи (день 2), % пришедших</t>
  </si>
  <si>
    <t xml:space="preserve">Для вебинара — 100%. Для марафона — доля пришедших, кто дошёл до продающего дня</t>
  </si>
  <si>
    <t xml:space="preserve">Участники продающего эфира</t>
  </si>
  <si>
    <t xml:space="preserve">Регистрации × доходимость × удержание</t>
  </si>
  <si>
    <t xml:space="preserve">Автооплаты на эфире, % участников</t>
  </si>
  <si>
    <t xml:space="preserve">Оплатили по ссылке во время эфира</t>
  </si>
  <si>
    <t xml:space="preserve">skillspace.ru</t>
  </si>
  <si>
    <t xml:space="preserve">Автооплаты</t>
  </si>
  <si>
    <t xml:space="preserve">Брони / предоплаты, % участников</t>
  </si>
  <si>
    <t xml:space="preserve">Внесли часть денег, дальше их ведёт менеджер</t>
  </si>
  <si>
    <t xml:space="preserve">Брони</t>
  </si>
  <si>
    <t xml:space="preserve">Заявки без оплаты, % участников</t>
  </si>
  <si>
    <t xml:space="preserve">Оставили контакты — дальше звонит менеджер</t>
  </si>
  <si>
    <t xml:space="preserve">Заявки</t>
  </si>
  <si>
    <t xml:space="preserve">Проверка: автооплаты + брони + заявки не больше 100%</t>
  </si>
  <si>
    <t xml:space="preserve">Были на эфире, но ничего не сделали</t>
  </si>
  <si>
    <t xml:space="preserve">Их дожимает ИИ-продавец в боте</t>
  </si>
  <si>
    <t xml:space="preserve">Не дошли до продажи</t>
  </si>
  <si>
    <t xml:space="preserve">Им бот шлёт запись, дальше пишет ИИ-продавец</t>
  </si>
  <si>
    <t xml:space="preserve">3. КАК ПРОДАЮТ ИИ-ПРОДАВЕЦ И МЕНЕДЖЕР — общие ставки для обоих запусков</t>
  </si>
  <si>
    <t xml:space="preserve">В боте, % регистраций</t>
  </si>
  <si>
    <t xml:space="preserve">Если регистрация идёт через Telegram-бота — 100%</t>
  </si>
  <si>
    <t xml:space="preserve">ИИ: ответили в диалоге — из «были, но ничего не сделали», %</t>
  </si>
  <si>
    <t xml:space="preserve">Бот пишет после эфира; считаем тех, кто ответил</t>
  </si>
  <si>
    <t xml:space="preserve">ИИ: ответили в диалоге — из «не дошли», %</t>
  </si>
  <si>
    <t xml:space="preserve">Холоднее: не видели продажу</t>
  </si>
  <si>
    <t xml:space="preserve">ИИ: оплатили сами по ссылке, % диалогов</t>
  </si>
  <si>
    <t xml:space="preserve">ИИ закрывает без человека</t>
  </si>
  <si>
    <t xml:space="preserve">sellergpt.ru</t>
  </si>
  <si>
    <t xml:space="preserve">ИИ: передал менеджеру горячего, % диалогов</t>
  </si>
  <si>
    <t xml:space="preserve">Готов купить, но нужен звонок или рассрочка</t>
  </si>
  <si>
    <t xml:space="preserve">Проверка: оплатили + горячие не больше 100%</t>
  </si>
  <si>
    <t xml:space="preserve">Менеджер: доводит бронь до оплаты, %</t>
  </si>
  <si>
    <t xml:space="preserve">Заказ → оплата на GetCourse — 66,8% в пик, в примере финмодели — 46%, в исходном файле — 80%</t>
  </si>
  <si>
    <t xml:space="preserve">getcourse.ru</t>
  </si>
  <si>
    <t xml:space="preserve">Менеджер: доводит заявку до оплаты, %</t>
  </si>
  <si>
    <t xml:space="preserve">Звонок → оплата 50–55% по гайду (не проверено); база брифа — 40%; в исходном файле — 40–50%</t>
  </si>
  <si>
    <t xml:space="preserve">Менеджер: доводит горячего от ИИ до оплаты, %</t>
  </si>
  <si>
    <t xml:space="preserve">Лид уже прогрет ИИ — оценка</t>
  </si>
  <si>
    <t xml:space="preserve">4. ХОЛОДНЫЙ ЗАПУСК — ПРОДАЖИ</t>
  </si>
  <si>
    <t xml:space="preserve">Автооплаты на эфире</t>
  </si>
  <si>
    <t xml:space="preserve">Менеджер: оплаты по броням</t>
  </si>
  <si>
    <t xml:space="preserve">Брони × доводимость</t>
  </si>
  <si>
    <t xml:space="preserve">Менеджер: оплаты по заявкам</t>
  </si>
  <si>
    <t xml:space="preserve">Заявки × доводимость</t>
  </si>
  <si>
    <t xml:space="preserve">ИИ: диалогов в боте</t>
  </si>
  <si>
    <t xml:space="preserve">(ничего не сделали × % ответа + не дошли × % ответа) × % в боте</t>
  </si>
  <si>
    <t xml:space="preserve">ИИ: оплатили сами</t>
  </si>
  <si>
    <t xml:space="preserve">ИИ → менеджер: горячих лидов</t>
  </si>
  <si>
    <t xml:space="preserve">Менеджер: оплаты от горячих лидов ИИ</t>
  </si>
  <si>
    <t xml:space="preserve">ИТОГО продаж холодного запуска</t>
  </si>
  <si>
    <t xml:space="preserve">Апсейлов</t>
  </si>
  <si>
    <t xml:space="preserve">Выручка холодного запуска</t>
  </si>
  <si>
    <t xml:space="preserve">Продажи × цена + апсейлы × доплата</t>
  </si>
  <si>
    <t xml:space="preserve">   в т.ч. через менеджера (с апсейлом)</t>
  </si>
  <si>
    <t xml:space="preserve">С этой суммы менеджер получает процент</t>
  </si>
  <si>
    <t xml:space="preserve">   в т.ч. с участием ИИ: сам + горячие</t>
  </si>
  <si>
    <t xml:space="preserve">Конверсия регистрация → покупка</t>
  </si>
  <si>
    <t xml:space="preserve">Цена покупателя: реклама ÷ продажи</t>
  </si>
  <si>
    <t xml:space="preserve">ROAS холодного: выручка ÷ реклама</t>
  </si>
  <si>
    <t xml:space="preserve">Это «окупаемость» из старого файла — без учёта расходов</t>
  </si>
  <si>
    <t xml:space="preserve">5. TELEGRAM-КАНАЛ — копим базу к тёплому запуску</t>
  </si>
  <si>
    <t xml:space="preserve">Подписчиков в канале на старте цикла</t>
  </si>
  <si>
    <t xml:space="preserve">Если у эксперта уже есть канал или блог — впиши. Это главная ячейка для тёплого запуска</t>
  </si>
  <si>
    <t xml:space="preserve">Подписались на канал из холодного запуска, % регистраций</t>
  </si>
  <si>
    <t xml:space="preserve">Бот зовёт в канал после регистрации и эфира</t>
  </si>
  <si>
    <t xml:space="preserve">Пришли в канал из холодного запуска</t>
  </si>
  <si>
    <t xml:space="preserve">Органический прирост до тёплого запуска</t>
  </si>
  <si>
    <t xml:space="preserve">Без рекламы</t>
  </si>
  <si>
    <t xml:space="preserve">Отписки до тёплого запуска, %</t>
  </si>
  <si>
    <t xml:space="preserve">Отписки 8–12% (РФ, период не указан)</t>
  </si>
  <si>
    <t xml:space="preserve">Отписались</t>
  </si>
  <si>
    <t xml:space="preserve">Уже купили курс — не целевые</t>
  </si>
  <si>
    <t xml:space="preserve">Покупатели холодного запуска, которые есть в канале</t>
  </si>
  <si>
    <t xml:space="preserve">Целевая база канала к тёплому запуску</t>
  </si>
  <si>
    <t xml:space="preserve">Через сколько месяцев после холодного — тёплый запуск</t>
  </si>
  <si>
    <t xml:space="preserve">мес</t>
  </si>
  <si>
    <t xml:space="preserve">По плану — раз в 2 месяца. От 1 до 6</t>
  </si>
  <si>
    <t xml:space="preserve">6. ТЁПЛЫЙ ЗАПУСК — марафон 2 дня в канале</t>
  </si>
  <si>
    <t xml:space="preserve">Марафон 2 дня</t>
  </si>
  <si>
    <t xml:space="preserve">На расчёт не влияет</t>
  </si>
  <si>
    <t xml:space="preserve">Зарегистрировались из канала, % целевой базы</t>
  </si>
  <si>
    <t xml:space="preserve">Анонс идёт серией постов — берём долю подписчиков, а не охват одного поста</t>
  </si>
  <si>
    <t xml:space="preserve">telesputnik.ru</t>
  </si>
  <si>
    <t xml:space="preserve">Регистрации из канала</t>
  </si>
  <si>
    <t xml:space="preserve">База бота вне канала, кто не купил</t>
  </si>
  <si>
    <t xml:space="preserve">Им шлём рассылку через бота</t>
  </si>
  <si>
    <t xml:space="preserve">Зарегистрировались из рассылки бота, %</t>
  </si>
  <si>
    <t xml:space="preserve">Регистрации из бота</t>
  </si>
  <si>
    <t xml:space="preserve">Бюджет на посевы / рекламу тёплого запуска</t>
  </si>
  <si>
    <t xml:space="preserve">По умолчанию 0 — тёплый запуск на своей базе</t>
  </si>
  <si>
    <t xml:space="preserve">Цена регистрации с посевов</t>
  </si>
  <si>
    <t xml:space="preserve">Подписчик в Telegram Ads в УЗ — 0,15–1,5 €</t>
  </si>
  <si>
    <t xml:space="preserve">telegrad.uz</t>
  </si>
  <si>
    <t xml:space="preserve">Регистрации с посевов</t>
  </si>
  <si>
    <t xml:space="preserve">Регистраций на тёплый запуск всего</t>
  </si>
  <si>
    <t xml:space="preserve">Дошли в день 1, % регистраций</t>
  </si>
  <si>
    <t xml:space="preserve">Холодный марафон — 25%, тёплый — до 68% (РФ)</t>
  </si>
  <si>
    <t xml:space="preserve">Дошли до продающего дня 2, % пришедших</t>
  </si>
  <si>
    <t xml:space="preserve">В тёплом марафоне на день 2 вернулись 72% (РФ)</t>
  </si>
  <si>
    <t xml:space="preserve">Автооплаты, % участников</t>
  </si>
  <si>
    <t xml:space="preserve">Ставки менеджера и ИИ — из блока 3</t>
  </si>
  <si>
    <t xml:space="preserve">ИТОГО продаж тёплого запуска</t>
  </si>
  <si>
    <t xml:space="preserve">Выручка тёплого запуска</t>
  </si>
  <si>
    <t xml:space="preserve">7. ОПЛАТЫ, РАССРОЧКИ И КОМИССИИ — на все продажи цикла</t>
  </si>
  <si>
    <t xml:space="preserve">Полная оплата, % продаж</t>
  </si>
  <si>
    <t xml:space="preserve">Картой через Payme / Click / Uzum</t>
  </si>
  <si>
    <t xml:space="preserve">Партнёрская рассрочка (Uzum Nasiya, Alif), % продаж</t>
  </si>
  <si>
    <t xml:space="preserve">Сервис платит школе сразу и забирает комиссию. Рассрочка 0% на 6–12 мес — стандарт рынка; Alif одобряет 50–60% заявок, Uzum — до 97%</t>
  </si>
  <si>
    <t xml:space="preserve">Своя рассрочка школы, % продаж</t>
  </si>
  <si>
    <t xml:space="preserve">Остаток до 100%</t>
  </si>
  <si>
    <t xml:space="preserve">Проверка: полная + партнёрская не больше 100%</t>
  </si>
  <si>
    <t xml:space="preserve">Эквайринг (Payme, Click, Uzum), % с платежа</t>
  </si>
  <si>
    <t xml:space="preserve">Payme ~1–1,5%, Click ~1–2%, Uzum 0,4–1,5%</t>
  </si>
  <si>
    <t xml:space="preserve">uzneo.uz</t>
  </si>
  <si>
    <t xml:space="preserve">Комиссия партнёрской рассрочки для школы, %</t>
  </si>
  <si>
    <t xml:space="preserve">Ставки для школ не найдены — запросить у Uzum, Alif, Anorbank. Если 0% для покупателя, наценку платит школа. Ориентир РФ: 8,5% за 3 мес, 15% за 12 мес</t>
  </si>
  <si>
    <t xml:space="preserve">Своя рассрочка: срок, месяцев</t>
  </si>
  <si>
    <t xml:space="preserve">Первый платёж — в месяц покупки, остальные — каждый следующий месяц. От 1 до 12</t>
  </si>
  <si>
    <t xml:space="preserve">Срок в расчёте</t>
  </si>
  <si>
    <t xml:space="preserve">Защита от 0 и дробей</t>
  </si>
  <si>
    <t xml:space="preserve">Своя рассрочка: первый платёж, % цены</t>
  </si>
  <si>
    <t xml:space="preserve">Остаток делится поровну на следующие месяцы</t>
  </si>
  <si>
    <t xml:space="preserve">blog.whiteedtech.ru</t>
  </si>
  <si>
    <t xml:space="preserve">Первый платёж в расчёте</t>
  </si>
  <si>
    <t xml:space="preserve">При сроке 1 месяц — вся сумма сразу</t>
  </si>
  <si>
    <t xml:space="preserve">Своя рассрочка: не доплатят, % от остатка</t>
  </si>
  <si>
    <t xml:space="preserve">Данных нет; оценка ресёрча — 15%</t>
  </si>
  <si>
    <t xml:space="preserve">Возвраты, % выручки</t>
  </si>
  <si>
    <t xml:space="preserve">Допущение брифа — 5%</t>
  </si>
  <si>
    <t xml:space="preserve">Холодный запуск</t>
  </si>
  <si>
    <t xml:space="preserve">Пришло в месяц продаж</t>
  </si>
  <si>
    <t xml:space="preserve">Полная оплата − эквайринг + партнёрская − комиссия + первый платёж своей рассрочки</t>
  </si>
  <si>
    <t xml:space="preserve">Придёт позже по своей рассрочке</t>
  </si>
  <si>
    <t xml:space="preserve">Остаток минус невыплаты и эквайринг</t>
  </si>
  <si>
    <t xml:space="preserve">   это по … $ в месяц</t>
  </si>
  <si>
    <t xml:space="preserve">Со 2-го месяца, всего «срок − 1» платежей</t>
  </si>
  <si>
    <t xml:space="preserve">Возвраты</t>
  </si>
  <si>
    <t xml:space="preserve">Чистые деньги холодного запуска</t>
  </si>
  <si>
    <t xml:space="preserve">Тёплый запуск</t>
  </si>
  <si>
    <t xml:space="preserve">Чистые деньги тёплого запуска</t>
  </si>
  <si>
    <t xml:space="preserve">Весь цикл</t>
  </si>
  <si>
    <t xml:space="preserve">Выручка по договорам</t>
  </si>
  <si>
    <t xml:space="preserve">Потери: эквайринг</t>
  </si>
  <si>
    <t xml:space="preserve">Потери: комиссия партнёрской рассрочки</t>
  </si>
  <si>
    <t xml:space="preserve">Потери: не доплатили по своей рассрочке</t>
  </si>
  <si>
    <t xml:space="preserve">Потери: возвраты</t>
  </si>
  <si>
    <t xml:space="preserve">Потери всего</t>
  </si>
  <si>
    <t xml:space="preserve">Потери, % выручки</t>
  </si>
  <si>
    <t xml:space="preserve">   пришло сразу, после возвратов</t>
  </si>
  <si>
    <t xml:space="preserve">   придёт позже по своей рассрочке</t>
  </si>
  <si>
    <t xml:space="preserve">Сверка: выручка − потери = чистые деньги</t>
  </si>
  <si>
    <t xml:space="preserve">8. РАСХОДЫ ЦИКЛА</t>
  </si>
  <si>
    <t xml:space="preserve">ИИ-продавец: разработка и настройка, разово</t>
  </si>
  <si>
    <t xml:space="preserve">В УЗ — 5–25 млн сум; 1 300 $ ≈ 15 млн сум. Если собираете сами — поставь 0</t>
  </si>
  <si>
    <t xml:space="preserve">innosoft.uz</t>
  </si>
  <si>
    <t xml:space="preserve">Прочие разовые вложения: ООО, юрист, запись курса, лендинг, бот</t>
  </si>
  <si>
    <t xml:space="preserve">По умолчанию 0. Пошлина за ООО ≈ 25 $; принимать оплату через Payme/Click можно только своему ООО</t>
  </si>
  <si>
    <t xml:space="preserve">azma.uz</t>
  </si>
  <si>
    <t xml:space="preserve">ИИ-продавец: ИИ и хостинг, $ в месяц</t>
  </si>
  <si>
    <t xml:space="preserve">В УЗ — 0,3–3 млн сум в месяц</t>
  </si>
  <si>
    <t xml:space="preserve">ИИ-продавец: доплата за 1 диалог</t>
  </si>
  <si>
    <t xml:space="preserve">Сервисы берут 5–30 ₽ за диалог; свой бот дешевле</t>
  </si>
  <si>
    <t xml:space="preserve">botseller.ai</t>
  </si>
  <si>
    <t xml:space="preserve">Менеджер: оклад, $ в месяц</t>
  </si>
  <si>
    <t xml:space="preserve">Оценка. Можно работать на проценте без оклада</t>
  </si>
  <si>
    <t xml:space="preserve">Менеджер: % с выручки своих сделок</t>
  </si>
  <si>
    <t xml:space="preserve">В брифе затраты на продажи — 10% выручки</t>
  </si>
  <si>
    <t xml:space="preserve">Команда запуска на цикл: таргетолог, техспец, дизайнер, монтаж</t>
  </si>
  <si>
    <t xml:space="preserve">Оценка — уточнить у команды</t>
  </si>
  <si>
    <t xml:space="preserve">Сервисы: бот-платформа, стрим, лендинг, LMS, $ в месяц</t>
  </si>
  <si>
    <t xml:space="preserve">Оценка</t>
  </si>
  <si>
    <t xml:space="preserve">Обучение: кураторы и поддержка на 1 ученика</t>
  </si>
  <si>
    <t xml:space="preserve">Допущение брифа: 10–25 $ в зависимости от чека</t>
  </si>
  <si>
    <t xml:space="preserve">Налог, % от поступлений</t>
  </si>
  <si>
    <t xml:space="preserve">ООО — налог с оборота 4% до 1 млрд сум в год; ИП и самозанятые — 1%. Проверить у бухгалтера</t>
  </si>
  <si>
    <t xml:space="preserve">buxgalter.uz</t>
  </si>
  <si>
    <t xml:space="preserve">Доля эксперта / партнёра, % от прибыли</t>
  </si>
  <si>
    <t xml:space="preserve">Если делите прибыль с экспертом. По умолчанию 0</t>
  </si>
  <si>
    <t xml:space="preserve">Налог на дивиденды при выводе прибыли, %</t>
  </si>
  <si>
    <t xml:space="preserve">Нерезиденту — 10%, для России по договору тоже 10%</t>
  </si>
  <si>
    <t xml:space="preserve">taxsummaries.pwc.com</t>
  </si>
  <si>
    <t xml:space="preserve">Месяцев в цикле</t>
  </si>
  <si>
    <t xml:space="preserve">Тёплый запуск идёт в последний месяц цикла</t>
  </si>
  <si>
    <t xml:space="preserve">Учеников за цикл</t>
  </si>
  <si>
    <t xml:space="preserve">Реклама: холодная + посевы тёплого</t>
  </si>
  <si>
    <t xml:space="preserve">Разовые вложения</t>
  </si>
  <si>
    <t xml:space="preserve">ИИ-продавец: ИИ, хостинг и диалоги</t>
  </si>
  <si>
    <t xml:space="preserve">Менеджер: оклад + процент</t>
  </si>
  <si>
    <t xml:space="preserve">Команда запуска</t>
  </si>
  <si>
    <t xml:space="preserve">Сервисы</t>
  </si>
  <si>
    <t xml:space="preserve">Кураторы</t>
  </si>
  <si>
    <t xml:space="preserve">Налог</t>
  </si>
  <si>
    <t xml:space="preserve">С чистых денег за цикл, включая будущие платежи рассрочки. Упрощение: налоговая база до комиссий сервисов чуть больше</t>
  </si>
  <si>
    <t xml:space="preserve">РАСХОДЫ ВСЕГО</t>
  </si>
  <si>
    <t xml:space="preserve">Для кассы по месяцам</t>
  </si>
  <si>
    <t xml:space="preserve">Расходы в месяц холодного запуска</t>
  </si>
  <si>
    <t xml:space="preserve">Реклама, диалоги ИИ, % менеджера, кураторы (разовые вложения — тоже в месяц 1)</t>
  </si>
  <si>
    <t xml:space="preserve">Расходы в месяц тёплого запуска</t>
  </si>
  <si>
    <t xml:space="preserve">Постоянные расходы в месяц</t>
  </si>
  <si>
    <t xml:space="preserve">Команда разложена поровну на месяцы цикла</t>
  </si>
  <si>
    <t xml:space="preserve">Реклама, разовые вложения, команда и первый месяц окладов и сервисов</t>
  </si>
  <si>
    <t xml:space="preserve">9. ИТОГ И ЮНИТ-ЭКОНОМИКА</t>
  </si>
  <si>
    <t xml:space="preserve">Прибыль цикла</t>
  </si>
  <si>
    <t xml:space="preserve">Повторный цикл без затрат на настройку ИИ</t>
  </si>
  <si>
    <t xml:space="preserve">Доля эксперта / партнёра</t>
  </si>
  <si>
    <t xml:space="preserve">Прибыль школы</t>
  </si>
  <si>
    <t xml:space="preserve">Налог берём только с положительной прибыли</t>
  </si>
  <si>
    <t xml:space="preserve">Маржинальность: прибыль ÷ выручка</t>
  </si>
  <si>
    <t xml:space="preserve">Доля тёплого запуска в выручке</t>
  </si>
  <si>
    <t xml:space="preserve">В первом цикле с новым каналом маленькая — база канала ещё не накоплена</t>
  </si>
  <si>
    <t xml:space="preserve">Выручка с участием ИИ-продавца</t>
  </si>
  <si>
    <t xml:space="preserve">Окупаемость ИИ: выручка с ИИ ÷ расходы на ИИ</t>
  </si>
  <si>
    <t xml:space="preserve">Считаем вместе с разовой настройкой</t>
  </si>
  <si>
    <t xml:space="preserve">Выручка через менеджера</t>
  </si>
  <si>
    <t xml:space="preserve">Доля менеджера в выручке</t>
  </si>
  <si>
    <t xml:space="preserve">На 1 холодную регистрацию</t>
  </si>
  <si>
    <t xml:space="preserve">Выручка холодного запуска на 1 регистрацию</t>
  </si>
  <si>
    <t xml:space="preserve">Выручка цикла на 1 регистрацию, с тёплым</t>
  </si>
  <si>
    <t xml:space="preserve">Доходит деньгами, % выручки</t>
  </si>
  <si>
    <t xml:space="preserve">Остаётся с 1 регистрации — только холодный</t>
  </si>
  <si>
    <t xml:space="preserve">После комиссий, налога, диалогов ИИ, % менеджера и кураторов. До рекламы и постоянных расходов</t>
  </si>
  <si>
    <t xml:space="preserve">Предельная цена регистрации — с тёплым запуском</t>
  </si>
  <si>
    <t xml:space="preserve">Дороже — реклама не отбивается даже без учёта постоянных расходов</t>
  </si>
  <si>
    <t xml:space="preserve">Запас: трафик может подорожать в … раз</t>
  </si>
  <si>
    <t xml:space="preserve">Постоянные и разовые расходы цикла</t>
  </si>
  <si>
    <t xml:space="preserve">Команда, оклад, ИИ, сервисы, посевы тёплого, разовые вложения</t>
  </si>
  <si>
    <t xml:space="preserve">Сколько холодных регистраций нужно, чтобы выйти в ноль</t>
  </si>
  <si>
    <t xml:space="preserve">Приближённо: считаем, что всё, кроме стартовой базы канала и органики, растёт вместе с трафиком</t>
  </si>
  <si>
    <t xml:space="preserve">Регистрации для нуля × текущая цена регистрации</t>
  </si>
  <si>
    <t xml:space="preserve">Сверка: регистрации × (предельная − текущая цена) − постоянные = прибыль</t>
  </si>
  <si>
    <t xml:space="preserve">Деньги по месяцам — когда приходят и уходят деньги</t>
  </si>
  <si>
    <t xml:space="preserve">Считается само из листа «Декомпозиция цикла», здесь ничего не вводится. Холодный запуск — месяц 1, тёплый — месяц «разрыв + 1». Своя рассрочка приходит частями в следующие месяцы.</t>
  </si>
  <si>
    <t xml:space="preserve">Месяц</t>
  </si>
  <si>
    <t xml:space="preserve">Поступления</t>
  </si>
  <si>
    <t xml:space="preserve">Расходы</t>
  </si>
  <si>
    <t xml:space="preserve">Итог месяца</t>
  </si>
  <si>
    <t xml:space="preserve">Нарастающим итогом</t>
  </si>
  <si>
    <t xml:space="preserve">Итого за 18 месяцев</t>
  </si>
  <si>
    <t xml:space="preserve">Сверка поступлений с листом 1 (должно быть 0)</t>
  </si>
  <si>
    <t xml:space="preserve">Сверка расходов с листом 1 (должно быть 0)</t>
  </si>
  <si>
    <t xml:space="preserve">Самая низкая точка кассы (минимум нарастающего итога)</t>
  </si>
  <si>
    <t xml:space="preserve">Нужно вложить до первых продаж — внутри месяца 1</t>
  </si>
  <si>
    <t xml:space="preserve">Разбор исходного файла «декомпозиция Узбекситан .xlsx»</t>
  </si>
  <si>
    <t xml:space="preserve">Четыре листа — отдельные шаблоны из рублёвого запуска. Друг с другом они не связаны, трафик не связан с регистрациями, расходов и рассрочек нет, есть ошибка в формуле.</t>
  </si>
  <si>
    <t xml:space="preserve">Что считает каждый лист</t>
  </si>
  <si>
    <t xml:space="preserve">Лист</t>
  </si>
  <si>
    <t xml:space="preserve">Суть модели</t>
  </si>
  <si>
    <t xml:space="preserve">Главные цифры (как в файле)</t>
  </si>
  <si>
    <t xml:space="preserve">Модель продаж - анкета предзапи</t>
  </si>
  <si>
    <t xml:space="preserve">Прогрев → анкета предзаписи → закрытая презентация → автооплаты, брони, заказы → отдел продаж</t>
  </si>
  <si>
    <t xml:space="preserve">Охват 2 500 → 250 анкет → 150 на презентации → 25,6 продажи × 56 000 = 1,435 млн ₽. Сценарии: 1,9 / 5,4 / 10,7 млн ₽. Расходов нет.</t>
  </si>
  <si>
    <t xml:space="preserve">Модель продаж- через вебинармар</t>
  </si>
  <si>
    <t xml:space="preserve">Регистрации на бесплатный вебинар → участники → заказы, автооплаты, предоплаты → отдел продаж</t>
  </si>
  <si>
    <t xml:space="preserve">600 регистраций → 300 участников → 40,5 продажи × 100 000 = 4,05 млн ₽ при трафике 500 тыс. («окупаемость» 8,1). Сценарии: 1,1 / 4,0 / 13,6 млн ₽.</t>
  </si>
  <si>
    <t xml:space="preserve">Модель продаж - гибридная</t>
  </si>
  <si>
    <t xml:space="preserve">Анкета → закрытый вебинар → трёхдневный марафон на всю базу → дожим письмами и зум-разборами</t>
  </si>
  <si>
    <t xml:space="preserve">Анкета 2,03 млн + марафон 5,36 млн + дожим 0,44 млн = 7,83 млн ₽ при трафике на марафон 2 млн.</t>
  </si>
  <si>
    <t xml:space="preserve">Трафик и лидмагнитная воронка</t>
  </si>
  <si>
    <t xml:space="preserve">Бюджеты по площадкам → подписчики → активации → предзаписи; вторая таблица — трипваер 2 900 ₽ → флагман 110 000 ₽</t>
  </si>
  <si>
    <t xml:space="preserve">13,5 млн ₽ → 2 683 предзаписи (≈5 031 ₽ за предзапись). Трипваер: 2,3 млн → 5,85 млн ₽ выручки (2,54x).</t>
  </si>
  <si>
    <t xml:space="preserve">Что не так и как исправлено в новой модели</t>
  </si>
  <si>
    <t xml:space="preserve">№</t>
  </si>
  <si>
    <t xml:space="preserve">Ячейки</t>
  </si>
  <si>
    <t xml:space="preserve">Что там сейчас</t>
  </si>
  <si>
    <t xml:space="preserve">Почему это проблема</t>
  </si>
  <si>
    <t xml:space="preserve">Как в новой модели</t>
  </si>
  <si>
    <t xml:space="preserve">L12</t>
  </si>
  <si>
    <t xml:space="preserve">Формула «(L11+L8*H27)*40%» даёт 440 001 ₽</t>
  </si>
  <si>
    <t xml:space="preserve">Ошибка в формуле: число заявок с зум-разборов (3,5) прибавлено к деньгам, а не умножено на чек. Правильно (3,5 + 10) × 110 000 × 40% = 594 000 ₽ — недосчитано 154 тыс.</t>
  </si>
  <si>
    <t xml:space="preserve">Каждая строка «штуки × цена» считается отдельно; есть сверка «выручка − потери = чистые деньги».</t>
  </si>
  <si>
    <t xml:space="preserve">D61, I61, N61</t>
  </si>
  <si>
    <t xml:space="preserve">Трафик 500 000 ₽ одинаковый при 300 / 500 / 1 000 регистраций</t>
  </si>
  <si>
    <t xml:space="preserve">Лишние регистрации достаются бесплатно: цена регистрации падает с 1 667 до 500 ₽, «окупаемость» растёт с 2,2x до 27,2x. Это эффект таблицы, а не рынка.</t>
  </si>
  <si>
    <t xml:space="preserve">Регистрации = бюджет ÷ CPM × 1 000 × CTR × конверсия. Больше регистраций — больше бюджет.</t>
  </si>
  <si>
    <t xml:space="preserve">D6, I8:I18</t>
  </si>
  <si>
    <t xml:space="preserve">Источники регистраций на 3 900 человек, а в воронке 600</t>
  </si>
  <si>
    <t xml:space="preserve">Таблица источников ни на что не влияет.</t>
  </si>
  <si>
    <t xml:space="preserve">Регистрации собираются в одну цепочку: трафик → канал → рассылка бота → посевы.</t>
  </si>
  <si>
    <t xml:space="preserve">D25, D58, I58, N58</t>
  </si>
  <si>
    <t xml:space="preserve">«CV ОП — вебинарные» 2% от всех участников</t>
  </si>
  <si>
    <t xml:space="preserve">В базу попадают уже купившие и оставившие заявку — одни и те же люди считаются дважды.</t>
  </si>
  <si>
    <t xml:space="preserve">ИИ-продавец и менеджер дожимают только тех, кто ничего не сделал или не дошёл.</t>
  </si>
  <si>
    <t xml:space="preserve">D24, D58, I58, N58</t>
  </si>
  <si>
    <t xml:space="preserve">«CV ОП — анкета» от всех анкет</t>
  </si>
  <si>
    <t xml:space="preserve">Та же проблема: в базе уже купившие и оставившие бронь.</t>
  </si>
  <si>
    <t xml:space="preserve">Как в пункте 4.</t>
  </si>
  <si>
    <t xml:space="preserve">через вебинармар, гибридная</t>
  </si>
  <si>
    <t xml:space="preserve">блок «Маркетинг и воронка»</t>
  </si>
  <si>
    <t xml:space="preserve">Не дошедшие до эфира (50% регистраций) нигде не дожимаются</t>
  </si>
  <si>
    <t xml:space="preserve">Потерян целый сегмент: не пришедших обычно дожимают записью и ботом (сколько это даёт в УЗ — не проверено).</t>
  </si>
  <si>
    <t xml:space="preserve">Отдельный сегмент «не дошли» → ИИ-продавец в боте → горячих передаёт менеджеру.</t>
  </si>
  <si>
    <t xml:space="preserve">L6, L9</t>
  </si>
  <si>
    <t xml:space="preserve">Регистрации в дожиме = 1 000 вручную, «5%» внутри формулы</t>
  </si>
  <si>
    <t xml:space="preserve">Меняешь регистрации марафона (H6) — дожим не меняется.</t>
  </si>
  <si>
    <t xml:space="preserve">Все блоки связаны ссылками.</t>
  </si>
  <si>
    <t xml:space="preserve">H20</t>
  </si>
  <si>
    <t xml:space="preserve">Одна конверсия ОП 45% и на брони, и на заявки</t>
  </si>
  <si>
    <t xml:space="preserve">На других листах бронь закрывается на 80% — здесь брони занижены.</t>
  </si>
  <si>
    <t xml:space="preserve">Отдельные ставки: бронь, заявка, горячий лид от ИИ.</t>
  </si>
  <si>
    <t xml:space="preserve">D28, H27, L16:L17</t>
  </si>
  <si>
    <t xml:space="preserve">Чек 60 000 ₽ в анкете и 110 000 ₽ на марафоне; итог складывает оба; трафик на анкету не посчитан</t>
  </si>
  <si>
    <t xml:space="preserve">Итог 7,8 млн ₽ смешивает два продукта. Люди из анкеты, скорее всего, есть и на марафоне — возможен двойной счёт.</t>
  </si>
  <si>
    <t xml:space="preserve">Одна цепочка людей: холодный запуск → канал → тёплый запуск. Уже купившие из тёплого исключаются.</t>
  </si>
  <si>
    <t xml:space="preserve">D9, D42, I42, N42, H9</t>
  </si>
  <si>
    <t xml:space="preserve">Пик = участники × 60%, число внутри формулы</t>
  </si>
  <si>
    <t xml:space="preserve">Поменять можно только правкой формулы.</t>
  </si>
  <si>
    <t xml:space="preserve">Внутри формул нет чисел — только ссылки на жёлтые ячейки.</t>
  </si>
  <si>
    <t xml:space="preserve">F6:G8, G15:H17, J15:K17</t>
  </si>
  <si>
    <t xml:space="preserve">20%, 10%, 7%, 3%, 15%, цены 2 900 и 110 000 ₽ внутри формул</t>
  </si>
  <si>
    <t xml:space="preserve">Воронку нельзя «покрутить» без правки формул.</t>
  </si>
  <si>
    <t xml:space="preserve">Каждая ставка — отдельная жёлтая ячейка.</t>
  </si>
  <si>
    <t xml:space="preserve">F8, F17</t>
  </si>
  <si>
    <t xml:space="preserve">Активация ВК = 100% подписчиков, у остальных площадок 20%</t>
  </si>
  <si>
    <t xml:space="preserve">Завышает ВК. В воронках конкурентов в Узбекистане ВК нет — везде Telegram и Meta (бриф рынка, раздел «Воронки»).</t>
  </si>
  <si>
    <t xml:space="preserve">Трафик — таргет Instagram/Facebook, тёплая база — Telegram.</t>
  </si>
  <si>
    <t xml:space="preserve">E9, E18</t>
  </si>
  <si>
    <t xml:space="preserve">Средняя цена подписчика = AVERAGE(…) = 140 ₽</t>
  </si>
  <si>
    <t xml:space="preserve">Простое среднее цен трёх площадок. Реально 109 и 116 ₽ (бюджет ÷ подписчики).</t>
  </si>
  <si>
    <t xml:space="preserve">Средние цены считаются делением сумм.</t>
  </si>
  <si>
    <t xml:space="preserve">Все листы</t>
  </si>
  <si>
    <t xml:space="preserve">D29, D62, I62, N62, H24, M15:M18</t>
  </si>
  <si>
    <t xml:space="preserve">«Окупаемость трафика» = выручка ÷ реклама</t>
  </si>
  <si>
    <t xml:space="preserve">Не вычтены комиссии, эквайринг, налоги, возвраты, рассрочки, зарплата ОП и команда — это не прибыль.</t>
  </si>
  <si>
    <t xml:space="preserve">Есть и ROAS (как раньше), и ROMI от прибыли после всех расходов.</t>
  </si>
  <si>
    <t xml:space="preserve">форматы денег</t>
  </si>
  <si>
    <t xml:space="preserve">Рубли (р.), ВК, чеки 45–110 тыс. ₽</t>
  </si>
  <si>
    <t xml:space="preserve">Цифры из российского запуска, не из Узбекистана.</t>
  </si>
  <si>
    <t xml:space="preserve">Доллары, курс сума для справки, каналы и бенчмарки Узбекистана.</t>
  </si>
  <si>
    <t xml:space="preserve">Источники цифр — откуда стартовые значения</t>
  </si>
  <si>
    <t xml:space="preserve">Колонки «Минимум / Оптимум / Максимум» подтягиваются из модели. Бенчмарки собраны 15.09.2026; данных по конверсиям воронки в Узбекистане нет, поэтому часть взята по РФ — это отмечено в «Гео». Полное сырьё — research/04-finmodel-zapuska/бенчмарки-УЗ-2026-09.md.</t>
  </si>
  <si>
    <t xml:space="preserve">Что известно / бенчмарк</t>
  </si>
  <si>
    <t xml:space="preserve">Гео</t>
  </si>
  <si>
    <t xml:space="preserve">Источник 1</t>
  </si>
  <si>
    <t xml:space="preserve">Источник 2</t>
  </si>
  <si>
    <t xml:space="preserve">Источник 3</t>
  </si>
  <si>
    <t xml:space="preserve">Источник 4</t>
  </si>
  <si>
    <t xml:space="preserve">Дата</t>
  </si>
  <si>
    <t xml:space="preserve">Уверенность</t>
  </si>
  <si>
    <t xml:space="preserve">ЦБ РУз: 11 765,21 сум за $ на 15.09.2026; в I полугодии 2026 — 11 935–12 320</t>
  </si>
  <si>
    <t xml:space="preserve">UZ</t>
  </si>
  <si>
    <t xml:space="preserve">uz.kursiv.media</t>
  </si>
  <si>
    <t xml:space="preserve">15.09.2026</t>
  </si>
  <si>
    <t xml:space="preserve">высокая</t>
  </si>
  <si>
    <t xml:space="preserve">Цены конкурентов в УЗ: IT 21–255 $, SMM 42–212 $, фриланс 170–595 $, ИИ-академии 255–510 $; базовый чек брифа — 2,5 млн сум ≈ 212 $. Чек 300 $ — по ответу заказчика</t>
  </si>
  <si>
    <t xml:space="preserve">moxieschool.uz</t>
  </si>
  <si>
    <t xml:space="preserve">sensorika.academy</t>
  </si>
  <si>
    <t xml:space="preserve">brains.uz</t>
  </si>
  <si>
    <t xml:space="preserve">средняя</t>
  </si>
  <si>
    <t xml:space="preserve">Meta в УЗ: CPM 1–3 $ на широкую аудиторию; в Instagram 3–8 $; у другого агентства 0,5–2 $</t>
  </si>
  <si>
    <t xml:space="preserve">xyzlab.com</t>
  </si>
  <si>
    <t xml:space="preserve">unika-agency.com</t>
  </si>
  <si>
    <t xml:space="preserve">2026</t>
  </si>
  <si>
    <t xml:space="preserve">низкая-средняя</t>
  </si>
  <si>
    <t xml:space="preserve">Хороший CTR в Instagram УЗ — 1,5–3% (агентство); CTR Telegram Ads в кейсе курса — 0,98% (РФ)</t>
  </si>
  <si>
    <t xml:space="preserve">UZ / RU</t>
  </si>
  <si>
    <t xml:space="preserve">Со страницы регистрации регистрируются 80–90% (гайд); с Telegram Ads на бота подписываются 19–21% кликнувших (кейс курса). Для Meta → лендинг → бот берём ниже</t>
  </si>
  <si>
    <t xml:space="preserve">RU</t>
  </si>
  <si>
    <t xml:space="preserve">2023–2026</t>
  </si>
  <si>
    <t xml:space="preserve">Лид в образовании УЗ — 2,3–3,6 $; CPL Meta в УЗ — 1–15 $, в сезон июль–сентябрь 10–12 $ (практик); база брифа — 6 $; кейс вебинара СНГ — 2,61 $</t>
  </si>
  <si>
    <t xml:space="preserve">UZ / СНГ</t>
  </si>
  <si>
    <t xml:space="preserve">t.me</t>
  </si>
  <si>
    <t xml:space="preserve">2021–2026</t>
  </si>
  <si>
    <t xml:space="preserve">Регистрация → эфир: в среднем 15–20% (РФ, 2026); 20–30% — норма, 50% — хорошо (гайд СНГ, 2023); в брифе база 35%</t>
  </si>
  <si>
    <t xml:space="preserve">RU / СНГ</t>
  </si>
  <si>
    <t xml:space="preserve">Со вебинара покупают 5–20% зрителей (РФ). В брифе база: заявки — 12% участников, из них оплачивают 40%. Доли автооплат и броней отдельно не нашли — оценка</t>
  </si>
  <si>
    <t xml:space="preserve">2025–2026</t>
  </si>
  <si>
    <t xml:space="preserve">низкая</t>
  </si>
  <si>
    <t xml:space="preserve">Заказ → оплата: 66,8% (вся платформа GetCourse, пик декабря 2025); 46% в примере финмодели школы; в исходном файле — 80%</t>
  </si>
  <si>
    <t xml:space="preserve">noboring-finance.ru</t>
  </si>
  <si>
    <t xml:space="preserve">2024–2026</t>
  </si>
  <si>
    <t xml:space="preserve">Звонок → оплата 50–55% по гайду (не проверено, пересказ в отчёте брифа); база брифа — 40%; в исходном файле — 40–50%</t>
  </si>
  <si>
    <t xml:space="preserve">ИИ-продавец: конверсия в чате выросла с ~10–12% до 25% за месяц (кейс самого вендора, B2B). Сколько даёт дожим в УЗ — не проверено, ставки ИИ — оценка</t>
  </si>
  <si>
    <t xml:space="preserve">07.2025</t>
  </si>
  <si>
    <t xml:space="preserve">Отписки 8–12% подписчиков (РФ, период не указан); по отпискам после запуска данных нет</t>
  </si>
  <si>
    <t xml:space="preserve">08.2024</t>
  </si>
  <si>
    <t xml:space="preserve">Пост за 15 дней видят 36–44% подписчиков блогов, в маркетинге и tech — 7–10%. Серия анонсов охватывает больше одного поста; у каналов конкурентов в УЗ 300–4 000 подписчиков (бриф)</t>
  </si>
  <si>
    <t xml:space="preserve">RU / UZ</t>
  </si>
  <si>
    <t xml:space="preserve">Холодный марафон: день 1 — 25%, день 2 — 14% регистраций. Тёплый: день 1 — 68%, на день 2 вернулись 72% пришедших</t>
  </si>
  <si>
    <t xml:space="preserve">2022–2026</t>
  </si>
  <si>
    <t xml:space="preserve">Telegram-посевы в УЗ: подписчик 7–12 тыс. сум (0,59–1,02 $), клик 0,08–0,17 $ (агентство, май 2026); подписчик Telegram Ads — 0,15–1,5 €</t>
  </si>
  <si>
    <t xml:space="preserve">Рассрочка 0% на 6–12 мес через Uzum и Alif Nasiya — стандарт рынка УЗ (бриф). Alif одобряет 50–60% заявок, Uzum Nasiya — до 97%. С 01.01.2027 ПП-294: максимум 12 мес</t>
  </si>
  <si>
    <t xml:space="preserve">spot.uz</t>
  </si>
  <si>
    <t xml:space="preserve">uzum.uz</t>
  </si>
  <si>
    <t xml:space="preserve">yuz.uz</t>
  </si>
  <si>
    <t xml:space="preserve">Комиссию школы у Uzum и Alif найти не удалось (бриф). Если 0% для покупателя, наценку платит школа; покупателю наценка на 12 мес — 27–44%. Ориентир РФ (Prodamus): 8,5% / 10% / 15% за 3 / 6 / 12 мес</t>
  </si>
  <si>
    <t xml:space="preserve">gazeta.uz</t>
  </si>
  <si>
    <t xml:space="preserve">prodamus.ru</t>
  </si>
  <si>
    <t xml:space="preserve">Данных по невыплатам нет. Оценка ресёрча: первый платёж 30%, не доплачивают 15% остатка; школа выходит в ноль после 3–4 из 12 платежей (РФ)</t>
  </si>
  <si>
    <t xml:space="preserve">03.2024</t>
  </si>
  <si>
    <t xml:space="preserve">Payme / Click / Uzum: комиссия 0,8–2%, подключение ~2 недели, только местным юрлицам; UzQR — 0,65%</t>
  </si>
  <si>
    <t xml:space="preserve">средняя-высокая</t>
  </si>
  <si>
    <t xml:space="preserve">Возвраты 5% — допущение брифа; данных по Узбекистану нет</t>
  </si>
  <si>
    <t xml:space="preserve">—</t>
  </si>
  <si>
    <t xml:space="preserve">Разработка ИИ-бота в УЗ — 5–25 млн сум (пакеты 10 / 20 / 35 млн); ИИ и хостинг — 0,3–3 млн сум в месяц</t>
  </si>
  <si>
    <t xml:space="preserve">07.2026</t>
  </si>
  <si>
    <t xml:space="preserve">Сервисы берут 5–30 ₽ за диалог (только сниппет поиска, не проверено); на своём боте токены дешевле</t>
  </si>
  <si>
    <t xml:space="preserve">Затраты на продажи 10% выручки — допущение брифа</t>
  </si>
  <si>
    <t xml:space="preserve">Оклад, команда и сервисы — оценка, уточнить у своей команды</t>
  </si>
  <si>
    <t xml:space="preserve">Кураторы на ученика: 10 / 15 / 25 $ при чеке 85 / 212 / 425 $ — допущение брифа</t>
  </si>
  <si>
    <t xml:space="preserve">ООО: налог с оборота 4% до 1 млрд сум в год (≈ 85 тыс. $); выше — НДС 12% и налог на прибыль 15%; ИП и самозанятые — 1%</t>
  </si>
  <si>
    <t xml:space="preserve">Дивиденды нерезиденту — 10%, для России по договору тоже 10%. На общем режиме до кармана доходит ≈ 76,5 $ со 100 $ прибыли (бриф)</t>
  </si>
  <si>
    <t xml:space="preserve">16.01.2026</t>
  </si>
  <si>
    <t xml:space="preserve">Госпошлина за регистрацию ООО — 300 тыс. сум ≈ 25 $; принимать оплату массовой аудитории можно только через своё ООО (бриф)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</si>
</sst>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[RED]&quot;-$&quot;#,##0;\–"/>
    <numFmt numFmtId="166" formatCode="0.00\x;[RED]\-0.00\x;\–"/>
    <numFmt numFmtId="167" formatCode="#,##0.0"/>
    <numFmt numFmtId="168" formatCode="\$#,##0.00;[RED]&quot;-$&quot;#,##0.00;\–"/>
    <numFmt numFmtId="169" formatCode="0.0%"/>
    <numFmt numFmtId="170" formatCode="#,##0&quot; сум&quot;"/>
    <numFmt numFmtId="171" formatCode="#,##0"/>
    <numFmt numFmtId="172" formatCode="@"/>
    <numFmt numFmtId="173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i val="true"/>
      <sz val="10"/>
      <color rgb="FF1F4E7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9D9D9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C6E0B4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E1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RGUpxwR5Sn9F54wb1Eq5Hb" TargetMode="External"/><Relationship Id="rId2" Type="http://schemas.openxmlformats.org/officeDocument/2006/relationships/hyperlink" Target="https://claude.ai/artifact/RGUpxwR5Sn9F54wb1Eq5Hb" TargetMode="External"/><Relationship Id="rId3" Type="http://schemas.openxmlformats.org/officeDocument/2006/relationships/hyperlink" Target="https://cbu.uz/ru/arkhiv-kursov-valyut/json/USD/" TargetMode="External"/><Relationship Id="rId4" Type="http://schemas.openxmlformats.org/officeDocument/2006/relationships/hyperlink" Target="https://aksanov.digital/blog/meta-ads/skolko-stoit-reklama" TargetMode="External"/><Relationship Id="rId5" Type="http://schemas.openxmlformats.org/officeDocument/2006/relationships/hyperlink" Target="https://101digital.uz/en/blog/targeted-advertising-uzbekistan/" TargetMode="External"/><Relationship Id="rId6" Type="http://schemas.openxmlformats.org/officeDocument/2006/relationships/hyperlink" Target="https://vc.ru/id972483/798734-dohodimost-do-vebinara-kakoi-procent-optimalnyi" TargetMode="External"/><Relationship Id="rId7" Type="http://schemas.openxmlformats.org/officeDocument/2006/relationships/hyperlink" Target="https://aksanov.digital/blog/meta-ads/analiz-kampaniy" TargetMode="External"/><Relationship Id="rId8" Type="http://schemas.openxmlformats.org/officeDocument/2006/relationships/hyperlink" Target="https://www.sostav.ru/blogs/287076/96331" TargetMode="External"/><Relationship Id="rId9" Type="http://schemas.openxmlformats.org/officeDocument/2006/relationships/hyperlink" Target="https://skillspace.ru/blog/kak-proviesti-prodaiushchii-viebinar-s-nulia-poshaghovyi-ghaid-dlia-ekspiertov-i-onlain-shkol-na-primierie-platformy-skillspace/" TargetMode="External"/><Relationship Id="rId10" Type="http://schemas.openxmlformats.org/officeDocument/2006/relationships/hyperlink" Target="https://skillspace.ru/blog/kak-proviesti-prodaiushchii-viebinar-s-nulia-poshaghovyi-ghaid-dlia-ekspiertov-i-onlain-shkol-na-primierie-platformy-skillspace/" TargetMode="External"/><Relationship Id="rId11" Type="http://schemas.openxmlformats.org/officeDocument/2006/relationships/hyperlink" Target="https://skillspace.ru/blog/kak-proviesti-prodaiushchii-viebinar-s-nulia-poshaghovyi-ghaid-dlia-ekspiertov-i-onlain-shkol-na-primierie-platformy-skillspace/" TargetMode="External"/><Relationship Id="rId12" Type="http://schemas.openxmlformats.org/officeDocument/2006/relationships/hyperlink" Target="https://sellergpt.ru/blog/keyc-kak-my-uvelichili-konversiyu-v-messendzherakh-na-25-s-pomoshchyu-ii-sotrudnika" TargetMode="External"/><Relationship Id="rId13" Type="http://schemas.openxmlformats.org/officeDocument/2006/relationships/hyperlink" Target="https://getcourse.ru/magazine/analitika_2025" TargetMode="External"/><Relationship Id="rId14" Type="http://schemas.openxmlformats.org/officeDocument/2006/relationships/hyperlink" Target="https://claude.ai/artifact/RGUpxwR5Sn9F54wb1Eq5Hb" TargetMode="External"/><Relationship Id="rId15" Type="http://schemas.openxmlformats.org/officeDocument/2006/relationships/hyperlink" Target="https://vc.ru/telegram/1425019-kak-poschitat-okupaemost-telegram-kanala" TargetMode="External"/><Relationship Id="rId16" Type="http://schemas.openxmlformats.org/officeDocument/2006/relationships/hyperlink" Target="https://telesputnik.ru/materials/trends/news/issledovanie-kak-menyaetsya-vovlecennost-auditorii-v-telegram-v-zavisimosti-ot-razmera-kanala" TargetMode="External"/><Relationship Id="rId17" Type="http://schemas.openxmlformats.org/officeDocument/2006/relationships/hyperlink" Target="https://telegrad.uz/blog/skolko-stoit-reklama-v-telegram.html" TargetMode="External"/><Relationship Id="rId18" Type="http://schemas.openxmlformats.org/officeDocument/2006/relationships/hyperlink" Target="https://vc.ru/marketing/2878535-telegram-ads-dlya-onlajn-kursov-kesj-shkoly-nejronavykov" TargetMode="External"/><Relationship Id="rId19" Type="http://schemas.openxmlformats.org/officeDocument/2006/relationships/hyperlink" Target="https://vc.ru/marketing/2878535-telegram-ads-dlya-onlajn-kursov-kesj-shkoly-nejronavykov" TargetMode="External"/><Relationship Id="rId20" Type="http://schemas.openxmlformats.org/officeDocument/2006/relationships/hyperlink" Target="https://claude.ai/artifact/RGUpxwR5Sn9F54wb1Eq5Hb" TargetMode="External"/><Relationship Id="rId21" Type="http://schemas.openxmlformats.org/officeDocument/2006/relationships/hyperlink" Target="https://uzneo.uz/blog/payme-click-uzum-podklyuchit-oplatu" TargetMode="External"/><Relationship Id="rId22" Type="http://schemas.openxmlformats.org/officeDocument/2006/relationships/hyperlink" Target="https://claude.ai/artifact/RGUpxwR5Sn9F54wb1Eq5Hb" TargetMode="External"/><Relationship Id="rId23" Type="http://schemas.openxmlformats.org/officeDocument/2006/relationships/hyperlink" Target="https://blog.whiteedtech.ru/blog/vnutrennyaya-rassrochka-ot-shkoly-kak-ee-organizovat/" TargetMode="External"/><Relationship Id="rId24" Type="http://schemas.openxmlformats.org/officeDocument/2006/relationships/hyperlink" Target="https://blog.whiteedtech.ru/blog/vnutrennyaya-rassrochka-ot-shkoly-kak-ee-organizovat/" TargetMode="External"/><Relationship Id="rId25" Type="http://schemas.openxmlformats.org/officeDocument/2006/relationships/hyperlink" Target="https://claude.ai/artifact/RGUpxwR5Sn9F54wb1Eq5Hb" TargetMode="External"/><Relationship Id="rId26" Type="http://schemas.openxmlformats.org/officeDocument/2006/relationships/hyperlink" Target="https://innosoft.uz/blog/ai-narxi-2026" TargetMode="External"/><Relationship Id="rId27" Type="http://schemas.openxmlformats.org/officeDocument/2006/relationships/hyperlink" Target="https://azma.uz/tpost/jlz2jkvtx1-gosposhlina-za-registratsiyu-ooo" TargetMode="External"/><Relationship Id="rId28" Type="http://schemas.openxmlformats.org/officeDocument/2006/relationships/hyperlink" Target="https://innosoft.uz/blog/ai-narxi-2026" TargetMode="External"/><Relationship Id="rId29" Type="http://schemas.openxmlformats.org/officeDocument/2006/relationships/hyperlink" Target="https://botseller.ai/blog/telegram-bot-dlya-prodazh" TargetMode="External"/><Relationship Id="rId30" Type="http://schemas.openxmlformats.org/officeDocument/2006/relationships/hyperlink" Target="https://claude.ai/artifact/RGUpxwR5Sn9F54wb1Eq5Hb" TargetMode="External"/><Relationship Id="rId31" Type="http://schemas.openxmlformats.org/officeDocument/2006/relationships/hyperlink" Target="https://claude.ai/artifact/RGUpxwR5Sn9F54wb1Eq5Hb" TargetMode="External"/><Relationship Id="rId32" Type="http://schemas.openxmlformats.org/officeDocument/2006/relationships/hyperlink" Target="https://buxgalter.uz/publish/doc/text205224" TargetMode="External"/><Relationship Id="rId33" Type="http://schemas.openxmlformats.org/officeDocument/2006/relationships/hyperlink" Target="https://taxsummaries.pwc.com/republic-of-uzbekistan/corporate/withholding-taxes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cbu.uz/ru/arkhiv-kursov-valyut/json/USD/" TargetMode="External"/><Relationship Id="rId2" Type="http://schemas.openxmlformats.org/officeDocument/2006/relationships/hyperlink" Target="https://uz.kursiv.media/2026-08-28/dollar-snova-poshel-vverh-kurs-na-2-sentyabrya-vyros-do-11-820-sumov/" TargetMode="External"/><Relationship Id="rId3" Type="http://schemas.openxmlformats.org/officeDocument/2006/relationships/hyperlink" Target="https://claude.ai/artifact/RGUpxwR5Sn9F54wb1Eq5Hb" TargetMode="External"/><Relationship Id="rId4" Type="http://schemas.openxmlformats.org/officeDocument/2006/relationships/hyperlink" Target="https://www.moxieschool.uz/" TargetMode="External"/><Relationship Id="rId5" Type="http://schemas.openxmlformats.org/officeDocument/2006/relationships/hyperlink" Target="https://sensorika.academy/" TargetMode="External"/><Relationship Id="rId6" Type="http://schemas.openxmlformats.org/officeDocument/2006/relationships/hyperlink" Target="https://brains.uz/kurslar/social-media-marketing/" TargetMode="External"/><Relationship Id="rId7" Type="http://schemas.openxmlformats.org/officeDocument/2006/relationships/hyperlink" Target="https://aksanov.digital/blog/meta-ads/skolko-stoit-reklama" TargetMode="External"/><Relationship Id="rId8" Type="http://schemas.openxmlformats.org/officeDocument/2006/relationships/hyperlink" Target="https://101digital.uz/en/blog/targeted-advertising-uzbekistan/" TargetMode="External"/><Relationship Id="rId9" Type="http://schemas.openxmlformats.org/officeDocument/2006/relationships/hyperlink" Target="https://www.xyzlab.com/meta-ads-benchmarks/uzbekistan" TargetMode="External"/><Relationship Id="rId10" Type="http://schemas.openxmlformats.org/officeDocument/2006/relationships/hyperlink" Target="https://unika-agency.com/blog/targetirovannaya-reklama-uzbekistan" TargetMode="External"/><Relationship Id="rId11" Type="http://schemas.openxmlformats.org/officeDocument/2006/relationships/hyperlink" Target="https://101digital.uz/en/blog/targeted-advertising-uzbekistan/" TargetMode="External"/><Relationship Id="rId12" Type="http://schemas.openxmlformats.org/officeDocument/2006/relationships/hyperlink" Target="https://vc.ru/marketing/2878535-telegram-ads-dlya-onlajn-kursov-kesj-shkoly-nejronavykov" TargetMode="External"/><Relationship Id="rId13" Type="http://schemas.openxmlformats.org/officeDocument/2006/relationships/hyperlink" Target="https://vc.ru/id972483/798734-dohodimost-do-vebinara-kakoi-procent-optimalnyi" TargetMode="External"/><Relationship Id="rId14" Type="http://schemas.openxmlformats.org/officeDocument/2006/relationships/hyperlink" Target="https://vc.ru/marketing/2878535-telegram-ads-dlya-onlajn-kursov-kesj-shkoly-nejronavykov" TargetMode="External"/><Relationship Id="rId15" Type="http://schemas.openxmlformats.org/officeDocument/2006/relationships/hyperlink" Target="https://aksanov.digital/blog/meta-ads/analiz-kampaniy" TargetMode="External"/><Relationship Id="rId16" Type="http://schemas.openxmlformats.org/officeDocument/2006/relationships/hyperlink" Target="https://unika-agency.com/blog/targetirovannaya-reklama-uzbekistan" TargetMode="External"/><Relationship Id="rId17" Type="http://schemas.openxmlformats.org/officeDocument/2006/relationships/hyperlink" Target="https://t.me/s/targetologi_uz" TargetMode="External"/><Relationship Id="rId18" Type="http://schemas.openxmlformats.org/officeDocument/2006/relationships/hyperlink" Target="https://vc.ru/marketing/358361-keis-8141-registraciya-na-vebinar-dlya-onlain-shkoly-treidinga" TargetMode="External"/><Relationship Id="rId19" Type="http://schemas.openxmlformats.org/officeDocument/2006/relationships/hyperlink" Target="https://www.sostav.ru/blogs/287076/96331" TargetMode="External"/><Relationship Id="rId20" Type="http://schemas.openxmlformats.org/officeDocument/2006/relationships/hyperlink" Target="https://vc.ru/id972483/798734-dohodimost-do-vebinara-kakoi-procent-optimalnyi" TargetMode="External"/><Relationship Id="rId21" Type="http://schemas.openxmlformats.org/officeDocument/2006/relationships/hyperlink" Target="https://claude.ai/artifact/RGUpxwR5Sn9F54wb1Eq5Hb" TargetMode="External"/><Relationship Id="rId22" Type="http://schemas.openxmlformats.org/officeDocument/2006/relationships/hyperlink" Target="https://skillspace.ru/blog/kak-proviesti-prodaiushchii-viebinar-s-nulia-poshaghovyi-ghaid-dlia-ekspiertov-i-onlain-shkol-na-primierie-platformy-skillspace/" TargetMode="External"/><Relationship Id="rId23" Type="http://schemas.openxmlformats.org/officeDocument/2006/relationships/hyperlink" Target="https://claude.ai/artifact/RGUpxwR5Sn9F54wb1Eq5Hb" TargetMode="External"/><Relationship Id="rId24" Type="http://schemas.openxmlformats.org/officeDocument/2006/relationships/hyperlink" Target="https://getcourse.ru/magazine/analitika_2025" TargetMode="External"/><Relationship Id="rId25" Type="http://schemas.openxmlformats.org/officeDocument/2006/relationships/hyperlink" Target="https://noboring-finance.ru/gazeta/finmodel-onlajn-shkoly-kak-postroit-i-shablon/" TargetMode="External"/><Relationship Id="rId26" Type="http://schemas.openxmlformats.org/officeDocument/2006/relationships/hyperlink" Target="https://claude.ai/artifact/RGUpxwR5Sn9F54wb1Eq5Hb" TargetMode="External"/><Relationship Id="rId27" Type="http://schemas.openxmlformats.org/officeDocument/2006/relationships/hyperlink" Target="https://sellergpt.ru/blog/keyc-kak-my-uvelichili-konversiyu-v-messendzherakh-na-25-s-pomoshchyu-ii-sotrudnika" TargetMode="External"/><Relationship Id="rId28" Type="http://schemas.openxmlformats.org/officeDocument/2006/relationships/hyperlink" Target="https://vc.ru/telegram/1425019-kak-poschitat-okupaemost-telegram-kanala" TargetMode="External"/><Relationship Id="rId29" Type="http://schemas.openxmlformats.org/officeDocument/2006/relationships/hyperlink" Target="https://telesputnik.ru/materials/trends/news/issledovanie-kak-menyaetsya-vovlecennost-auditorii-v-telegram-v-zavisimosti-ot-razmera-kanala" TargetMode="External"/><Relationship Id="rId30" Type="http://schemas.openxmlformats.org/officeDocument/2006/relationships/hyperlink" Target="https://claude.ai/artifact/RGUpxwR5Sn9F54wb1Eq5Hb" TargetMode="External"/><Relationship Id="rId31" Type="http://schemas.openxmlformats.org/officeDocument/2006/relationships/hyperlink" Target="https://vc.ru/marketing/2878535-telegram-ads-dlya-onlajn-kursov-kesj-shkoly-nejronavykov" TargetMode="External"/><Relationship Id="rId32" Type="http://schemas.openxmlformats.org/officeDocument/2006/relationships/hyperlink" Target="https://vc.ru/marketing/363540-anatomiya-analitiki-marafonnyh-mehanik-dlya-onlain-shkol" TargetMode="External"/><Relationship Id="rId33" Type="http://schemas.openxmlformats.org/officeDocument/2006/relationships/hyperlink" Target="https://telegrad.uz/blog/skolko-stoit-reklama-v-telegram.html" TargetMode="External"/><Relationship Id="rId34" Type="http://schemas.openxmlformats.org/officeDocument/2006/relationships/hyperlink" Target="https://aksanov.digital/blog/telegram-ads/prodvigaem-kanal" TargetMode="External"/><Relationship Id="rId35" Type="http://schemas.openxmlformats.org/officeDocument/2006/relationships/hyperlink" Target="https://claude.ai/artifact/RGUpxwR5Sn9F54wb1Eq5Hb" TargetMode="External"/><Relationship Id="rId36" Type="http://schemas.openxmlformats.org/officeDocument/2006/relationships/hyperlink" Target="https://www.spot.uz/ru/2025/07/11/bnpl-regulation/" TargetMode="External"/><Relationship Id="rId37" Type="http://schemas.openxmlformats.org/officeDocument/2006/relationships/hyperlink" Target="https://uzum.uz/media/kak-ustroen-servis-rassrochki-uzum-nasiya/" TargetMode="External"/><Relationship Id="rId38" Type="http://schemas.openxmlformats.org/officeDocument/2006/relationships/hyperlink" Target="https://yuz.uz/ru/news/rassrochka-pod-0-pochemu-posle-pp-294-polovina-takix-predlojeniy-yuridicheski-stanet-kreditom" TargetMode="External"/><Relationship Id="rId39" Type="http://schemas.openxmlformats.org/officeDocument/2006/relationships/hyperlink" Target="https://claude.ai/artifact/RGUpxwR5Sn9F54wb1Eq5Hb" TargetMode="External"/><Relationship Id="rId40" Type="http://schemas.openxmlformats.org/officeDocument/2006/relationships/hyperlink" Target="https://www.gazeta.uz/ru/2025/07/02/nasiya-bnpl/" TargetMode="External"/><Relationship Id="rId41" Type="http://schemas.openxmlformats.org/officeDocument/2006/relationships/hyperlink" Target="https://prodamus.ru/chastyami" TargetMode="External"/><Relationship Id="rId42" Type="http://schemas.openxmlformats.org/officeDocument/2006/relationships/hyperlink" Target="https://blog.whiteedtech.ru/blog/vnutrennyaya-rassrochka-ot-shkoly-kak-ee-organizovat/" TargetMode="External"/><Relationship Id="rId43" Type="http://schemas.openxmlformats.org/officeDocument/2006/relationships/hyperlink" Target="https://uzneo.uz/blog/payme-click-uzum-podklyuchit-oplatu" TargetMode="External"/><Relationship Id="rId44" Type="http://schemas.openxmlformats.org/officeDocument/2006/relationships/hyperlink" Target="https://vc.ru/dev/3069312" TargetMode="External"/><Relationship Id="rId45" Type="http://schemas.openxmlformats.org/officeDocument/2006/relationships/hyperlink" Target="https://www.gazeta.uz/ru/2026/06/23/uzar-tariff/" TargetMode="External"/><Relationship Id="rId46" Type="http://schemas.openxmlformats.org/officeDocument/2006/relationships/hyperlink" Target="https://claude.ai/artifact/RGUpxwR5Sn9F54wb1Eq5Hb" TargetMode="External"/><Relationship Id="rId47" Type="http://schemas.openxmlformats.org/officeDocument/2006/relationships/hyperlink" Target="https://innosoft.uz/blog/ai-narxi-2026" TargetMode="External"/><Relationship Id="rId48" Type="http://schemas.openxmlformats.org/officeDocument/2006/relationships/hyperlink" Target="https://botseller.ai/blog/telegram-bot-dlya-prodazh" TargetMode="External"/><Relationship Id="rId49" Type="http://schemas.openxmlformats.org/officeDocument/2006/relationships/hyperlink" Target="https://claude.ai/artifact/RGUpxwR5Sn9F54wb1Eq5Hb" TargetMode="External"/><Relationship Id="rId50" Type="http://schemas.openxmlformats.org/officeDocument/2006/relationships/hyperlink" Target="https://claude.ai/artifact/RGUpxwR5Sn9F54wb1Eq5Hb" TargetMode="External"/><Relationship Id="rId51" Type="http://schemas.openxmlformats.org/officeDocument/2006/relationships/hyperlink" Target="https://buxgalter.uz/publish/doc/text205224" TargetMode="External"/><Relationship Id="rId52" Type="http://schemas.openxmlformats.org/officeDocument/2006/relationships/hyperlink" Target="https://www.spot.uz/ru/2025/11/26/taxes-for-2026/" TargetMode="External"/><Relationship Id="rId53" Type="http://schemas.openxmlformats.org/officeDocument/2006/relationships/hyperlink" Target="https://buxgalter.uz/publish/doc/text212712_nk-2026_izmeneniya_po_nalogu_s_oborota_dlya_ip_i_samozanyatyh" TargetMode="External"/><Relationship Id="rId54" Type="http://schemas.openxmlformats.org/officeDocument/2006/relationships/hyperlink" Target="https://taxsummaries.pwc.com/republic-of-uzbekistan/corporate/withholding-taxes" TargetMode="External"/><Relationship Id="rId55" Type="http://schemas.openxmlformats.org/officeDocument/2006/relationships/hyperlink" Target="https://claude.ai/artifact/RGUpxwR5Sn9F54wb1Eq5Hb" TargetMode="External"/><Relationship Id="rId56" Type="http://schemas.openxmlformats.org/officeDocument/2006/relationships/hyperlink" Target="https://azma.uz/tpost/jlz2jkvtx1-gosposhlina-za-registratsiyu-ooo" TargetMode="External"/><Relationship Id="rId57" Type="http://schemas.openxmlformats.org/officeDocument/2006/relationships/hyperlink" Target="https://claude.ai/artifact/RGUpxwR5Sn9F54wb1Eq5H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6"/>
    <col collapsed="false" customWidth="true" hidden="false" outlineLevel="0" max="6" min="4" style="0" width="15"/>
    <col collapsed="false" customWidth="true" hidden="false" outlineLevel="0" max="7" min="7" style="0" width="100"/>
    <col collapsed="false" customWidth="true" hidden="false" outlineLevel="0" max="8" min="8" style="0" width="22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2" t="s">
        <v>3</v>
      </c>
    </row>
    <row r="5" customFormat="false" ht="15" hidden="false" customHeight="false" outlineLevel="0" collapsed="false">
      <c r="B5" s="4" t="s">
        <v>4</v>
      </c>
    </row>
    <row r="6" customFormat="false" ht="15" hidden="false" customHeight="false" outlineLevel="0" collapsed="false">
      <c r="B6" s="5" t="s">
        <v>5</v>
      </c>
      <c r="C6" s="6" t="s">
        <v>6</v>
      </c>
      <c r="D6" s="7" t="s">
        <v>7</v>
      </c>
      <c r="E6" s="7" t="s">
        <v>8</v>
      </c>
      <c r="F6" s="7" t="s">
        <v>9</v>
      </c>
      <c r="G6" s="5" t="s">
        <v>10</v>
      </c>
      <c r="H6" s="5" t="s">
        <v>11</v>
      </c>
    </row>
    <row r="7" customFormat="false" ht="19.5" hidden="false" customHeight="true" outlineLevel="0" collapsed="false">
      <c r="B7" s="8" t="s">
        <v>12</v>
      </c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B8" s="9" t="s">
        <v>13</v>
      </c>
      <c r="C8" s="10" t="s">
        <v>14</v>
      </c>
      <c r="D8" s="11" t="n">
        <f aca="false">D161</f>
        <v>1667.36419063225</v>
      </c>
      <c r="E8" s="11" t="n">
        <f aca="false">E161</f>
        <v>8093.81906554146</v>
      </c>
      <c r="F8" s="11" t="n">
        <f aca="false">F161</f>
        <v>34428.77853507</v>
      </c>
      <c r="G8" s="12" t="s">
        <v>15</v>
      </c>
      <c r="H8" s="13"/>
    </row>
    <row r="9" customFormat="false" ht="15" hidden="false" customHeight="false" outlineLevel="0" collapsed="false">
      <c r="B9" s="9" t="s">
        <v>16</v>
      </c>
      <c r="C9" s="10" t="s">
        <v>14</v>
      </c>
      <c r="D9" s="11" t="n">
        <f aca="false">-D166</f>
        <v>-299.792081475679</v>
      </c>
      <c r="E9" s="11" t="n">
        <f aca="false">-E166</f>
        <v>-840.118184455539</v>
      </c>
      <c r="F9" s="11" t="n">
        <f aca="false">-F166</f>
        <v>-1977.93332683977</v>
      </c>
      <c r="G9" s="12" t="s">
        <v>17</v>
      </c>
      <c r="H9" s="13"/>
    </row>
    <row r="10" customFormat="false" ht="18" hidden="false" customHeight="true" outlineLevel="0" collapsed="false">
      <c r="B10" s="14" t="s">
        <v>18</v>
      </c>
      <c r="C10" s="15" t="s">
        <v>14</v>
      </c>
      <c r="D10" s="16" t="n">
        <f aca="false">D168</f>
        <v>1367.57210915657</v>
      </c>
      <c r="E10" s="16" t="n">
        <f aca="false">E168</f>
        <v>7253.70088108592</v>
      </c>
      <c r="F10" s="16" t="n">
        <f aca="false">F168</f>
        <v>32450.8452082302</v>
      </c>
      <c r="G10" s="17" t="s">
        <v>19</v>
      </c>
      <c r="H10" s="18"/>
    </row>
    <row r="11" customFormat="false" ht="15" hidden="false" customHeight="false" outlineLevel="0" collapsed="false">
      <c r="B11" s="9" t="s">
        <v>20</v>
      </c>
      <c r="C11" s="10" t="s">
        <v>14</v>
      </c>
      <c r="D11" s="11" t="n">
        <f aca="false">D169</f>
        <v>1196.00033394051</v>
      </c>
      <c r="E11" s="11" t="n">
        <f aca="false">E169</f>
        <v>6643.81137994971</v>
      </c>
      <c r="F11" s="11" t="n">
        <f aca="false">F169</f>
        <v>30917.0431244929</v>
      </c>
      <c r="G11" s="12" t="s">
        <v>21</v>
      </c>
      <c r="H11" s="13"/>
    </row>
    <row r="12" customFormat="false" ht="15" hidden="false" customHeight="false" outlineLevel="0" collapsed="false">
      <c r="B12" s="9" t="s">
        <v>22</v>
      </c>
      <c r="C12" s="10" t="s">
        <v>14</v>
      </c>
      <c r="D12" s="11" t="n">
        <f aca="false">D170</f>
        <v>171.571775216059</v>
      </c>
      <c r="E12" s="11" t="n">
        <f aca="false">E170</f>
        <v>609.889501136212</v>
      </c>
      <c r="F12" s="11" t="n">
        <f aca="false">F170</f>
        <v>1533.80208373737</v>
      </c>
      <c r="G12" s="12" t="s">
        <v>23</v>
      </c>
      <c r="H12" s="13"/>
    </row>
    <row r="13" customFormat="false" ht="15" hidden="false" customHeight="false" outlineLevel="0" collapsed="false">
      <c r="B13" s="9" t="s">
        <v>24</v>
      </c>
      <c r="C13" s="10" t="s">
        <v>14</v>
      </c>
      <c r="D13" s="11" t="n">
        <f aca="false">-D196</f>
        <v>-9789.07993583244</v>
      </c>
      <c r="E13" s="11" t="n">
        <f aca="false">-E196</f>
        <v>-10783.743936954</v>
      </c>
      <c r="F13" s="11" t="n">
        <f aca="false">-F196</f>
        <v>-15037.0989813538</v>
      </c>
      <c r="G13" s="12" t="s">
        <v>25</v>
      </c>
      <c r="H13" s="13"/>
    </row>
    <row r="14" customFormat="false" ht="18" hidden="false" customHeight="true" outlineLevel="0" collapsed="false">
      <c r="B14" s="14" t="s">
        <v>26</v>
      </c>
      <c r="C14" s="15" t="s">
        <v>14</v>
      </c>
      <c r="D14" s="16" t="n">
        <f aca="false">D204</f>
        <v>-8421.50782667587</v>
      </c>
      <c r="E14" s="16" t="n">
        <f aca="false">E204</f>
        <v>-3530.04305586807</v>
      </c>
      <c r="F14" s="16" t="n">
        <f aca="false">F204</f>
        <v>17413.7462268764</v>
      </c>
      <c r="G14" s="17" t="s">
        <v>27</v>
      </c>
      <c r="H14" s="18"/>
    </row>
    <row r="15" customFormat="false" ht="15" hidden="false" customHeight="false" outlineLevel="0" collapsed="false">
      <c r="B15" s="9" t="s">
        <v>28</v>
      </c>
      <c r="C15" s="10" t="s">
        <v>14</v>
      </c>
      <c r="D15" s="11" t="n">
        <f aca="false">D205</f>
        <v>-7121.50782667587</v>
      </c>
      <c r="E15" s="11" t="n">
        <f aca="false">E205</f>
        <v>-2230.04305586807</v>
      </c>
      <c r="F15" s="11" t="n">
        <f aca="false">F205</f>
        <v>18713.7462268764</v>
      </c>
      <c r="G15" s="12" t="s">
        <v>29</v>
      </c>
      <c r="H15" s="13"/>
    </row>
    <row r="16" customFormat="false" ht="15" hidden="false" customHeight="false" outlineLevel="0" collapsed="false">
      <c r="B16" s="9" t="s">
        <v>30</v>
      </c>
      <c r="C16" s="10" t="s">
        <v>14</v>
      </c>
      <c r="D16" s="11" t="n">
        <f aca="false">D207</f>
        <v>-8421.50782667587</v>
      </c>
      <c r="E16" s="11" t="n">
        <f aca="false">E207</f>
        <v>-3530.04305586807</v>
      </c>
      <c r="F16" s="11" t="n">
        <f aca="false">F207</f>
        <v>17413.7462268764</v>
      </c>
      <c r="G16" s="12"/>
      <c r="H16" s="13"/>
    </row>
    <row r="17" customFormat="false" ht="15" hidden="false" customHeight="false" outlineLevel="0" collapsed="false">
      <c r="B17" s="9" t="s">
        <v>31</v>
      </c>
      <c r="C17" s="10" t="s">
        <v>14</v>
      </c>
      <c r="D17" s="11" t="n">
        <f aca="false">D208</f>
        <v>-8421.50782667587</v>
      </c>
      <c r="E17" s="11" t="n">
        <f aca="false">E208</f>
        <v>-3530.04305586807</v>
      </c>
      <c r="F17" s="11" t="n">
        <f aca="false">F208</f>
        <v>15672.3716041888</v>
      </c>
      <c r="G17" s="12" t="s">
        <v>32</v>
      </c>
      <c r="H17" s="13"/>
    </row>
    <row r="18" customFormat="false" ht="15" hidden="false" customHeight="false" outlineLevel="0" collapsed="false">
      <c r="B18" s="9" t="s">
        <v>33</v>
      </c>
      <c r="C18" s="10" t="s">
        <v>34</v>
      </c>
      <c r="D18" s="19" t="n">
        <f aca="false">D210</f>
        <v>-1.68430156533517</v>
      </c>
      <c r="E18" s="19" t="n">
        <f aca="false">E210</f>
        <v>-0.706008611173615</v>
      </c>
      <c r="F18" s="19" t="n">
        <f aca="false">F210</f>
        <v>3.48274924537528</v>
      </c>
      <c r="G18" s="12" t="s">
        <v>35</v>
      </c>
      <c r="H18" s="13"/>
    </row>
    <row r="19" customFormat="false" ht="15" hidden="false" customHeight="false" outlineLevel="0" collapsed="false">
      <c r="B19" s="9" t="s">
        <v>36</v>
      </c>
      <c r="C19" s="10" t="s">
        <v>37</v>
      </c>
      <c r="D19" s="20" t="n">
        <f aca="false">D187</f>
        <v>5.55788063544083</v>
      </c>
      <c r="E19" s="20" t="n">
        <f aca="false">E187</f>
        <v>26.9793968851382</v>
      </c>
      <c r="F19" s="20" t="n">
        <f aca="false">F187</f>
        <v>114.7625951169</v>
      </c>
      <c r="G19" s="12" t="s">
        <v>38</v>
      </c>
      <c r="H19" s="13"/>
    </row>
    <row r="20" customFormat="false" ht="15" hidden="false" customHeight="false" outlineLevel="0" collapsed="false">
      <c r="B20" s="9" t="s">
        <v>39</v>
      </c>
      <c r="C20" s="10" t="s">
        <v>14</v>
      </c>
      <c r="D20" s="21" t="n">
        <f aca="false">D43</f>
        <v>7.8125</v>
      </c>
      <c r="E20" s="21" t="n">
        <f aca="false">E43</f>
        <v>4</v>
      </c>
      <c r="F20" s="21" t="n">
        <f aca="false">F43</f>
        <v>2</v>
      </c>
      <c r="G20" s="12" t="s">
        <v>40</v>
      </c>
      <c r="H20" s="13"/>
    </row>
    <row r="21" customFormat="false" ht="15" hidden="false" customHeight="false" outlineLevel="0" collapsed="false">
      <c r="B21" s="9" t="s">
        <v>41</v>
      </c>
      <c r="C21" s="10" t="s">
        <v>14</v>
      </c>
      <c r="D21" s="21" t="n">
        <f aca="false">D221</f>
        <v>1.74764402081896</v>
      </c>
      <c r="E21" s="21" t="n">
        <f aca="false">E221</f>
        <v>4.80796555530554</v>
      </c>
      <c r="F21" s="21" t="n">
        <f aca="false">F221</f>
        <v>10.7814984907506</v>
      </c>
      <c r="G21" s="12" t="s">
        <v>42</v>
      </c>
      <c r="H21" s="13"/>
    </row>
    <row r="22" customFormat="false" ht="15" hidden="false" customHeight="false" outlineLevel="0" collapsed="false">
      <c r="B22" s="9" t="s">
        <v>43</v>
      </c>
      <c r="C22" s="10" t="s">
        <v>14</v>
      </c>
      <c r="D22" s="11" t="str">
        <f aca="false">D225</f>
        <v>не выходим</v>
      </c>
      <c r="E22" s="11" t="n">
        <f aca="false">E225</f>
        <v>22476.2056757885</v>
      </c>
      <c r="F22" s="11" t="n">
        <f aca="false">F225</f>
        <v>1033.99209252998</v>
      </c>
      <c r="G22" s="12" t="s">
        <v>44</v>
      </c>
      <c r="H22" s="13"/>
    </row>
    <row r="23" customFormat="false" ht="15" hidden="false" customHeight="false" outlineLevel="0" collapsed="false">
      <c r="B23" s="9" t="s">
        <v>45</v>
      </c>
      <c r="C23" s="10" t="s">
        <v>14</v>
      </c>
      <c r="D23" s="11" t="n">
        <f aca="false">D201</f>
        <v>8380</v>
      </c>
      <c r="E23" s="11" t="n">
        <f aca="false">E201</f>
        <v>8380</v>
      </c>
      <c r="F23" s="11" t="n">
        <f aca="false">F201</f>
        <v>8380</v>
      </c>
      <c r="G23" s="12" t="s">
        <v>46</v>
      </c>
      <c r="H23" s="13"/>
    </row>
    <row r="24" customFormat="false" ht="15" hidden="false" customHeight="false" outlineLevel="0" collapsed="false">
      <c r="B24" s="9" t="s">
        <v>47</v>
      </c>
      <c r="C24" s="10" t="s">
        <v>14</v>
      </c>
      <c r="D24" s="11" t="n">
        <f aca="false">'Деньги по месяцам'!F28</f>
        <v>-8482.91237504328</v>
      </c>
      <c r="E24" s="11" t="n">
        <f aca="false">'Деньги по месяцам'!K28</f>
        <v>-3591.02141114634</v>
      </c>
      <c r="F24" s="11" t="n">
        <f aca="false">'Деньги по месяцам'!P28</f>
        <v>0</v>
      </c>
      <c r="G24" s="12" t="s">
        <v>48</v>
      </c>
      <c r="H24" s="13"/>
    </row>
    <row r="26" customFormat="false" ht="19.5" hidden="false" customHeight="true" outlineLevel="0" collapsed="false">
      <c r="B26" s="8" t="s">
        <v>49</v>
      </c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B27" s="22" t="s">
        <v>50</v>
      </c>
      <c r="C27" s="23" t="s">
        <v>14</v>
      </c>
      <c r="D27" s="24" t="n">
        <v>300</v>
      </c>
      <c r="E27" s="24" t="n">
        <v>300</v>
      </c>
      <c r="F27" s="24" t="n">
        <v>300</v>
      </c>
      <c r="G27" s="25" t="s">
        <v>51</v>
      </c>
      <c r="H27" s="26" t="s">
        <v>52</v>
      </c>
    </row>
    <row r="28" customFormat="false" ht="15" hidden="false" customHeight="false" outlineLevel="0" collapsed="false">
      <c r="B28" s="22" t="s">
        <v>53</v>
      </c>
      <c r="C28" s="23" t="s">
        <v>14</v>
      </c>
      <c r="D28" s="24" t="n">
        <v>300</v>
      </c>
      <c r="E28" s="24" t="n">
        <v>300</v>
      </c>
      <c r="F28" s="24" t="n">
        <v>300</v>
      </c>
      <c r="G28" s="25" t="s">
        <v>54</v>
      </c>
      <c r="H28" s="27" t="s">
        <v>55</v>
      </c>
    </row>
    <row r="29" customFormat="false" ht="15" hidden="false" customHeight="false" outlineLevel="0" collapsed="false">
      <c r="B29" s="22" t="s">
        <v>56</v>
      </c>
      <c r="C29" s="23" t="s">
        <v>57</v>
      </c>
      <c r="D29" s="28" t="n">
        <v>0</v>
      </c>
      <c r="E29" s="28" t="n">
        <v>0</v>
      </c>
      <c r="F29" s="28" t="n">
        <v>0</v>
      </c>
      <c r="G29" s="25" t="s">
        <v>58</v>
      </c>
      <c r="H29" s="27" t="s">
        <v>55</v>
      </c>
    </row>
    <row r="30" customFormat="false" ht="15" hidden="false" customHeight="false" outlineLevel="0" collapsed="false">
      <c r="B30" s="22" t="s">
        <v>59</v>
      </c>
      <c r="C30" s="23" t="s">
        <v>14</v>
      </c>
      <c r="D30" s="24" t="n">
        <v>200</v>
      </c>
      <c r="E30" s="24" t="n">
        <v>200</v>
      </c>
      <c r="F30" s="24" t="n">
        <v>200</v>
      </c>
      <c r="G30" s="25"/>
      <c r="H30" s="27" t="s">
        <v>55</v>
      </c>
    </row>
    <row r="31" customFormat="false" ht="15" hidden="false" customHeight="false" outlineLevel="0" collapsed="false">
      <c r="B31" s="22" t="s">
        <v>60</v>
      </c>
      <c r="C31" s="23" t="s">
        <v>61</v>
      </c>
      <c r="D31" s="29" t="n">
        <v>11765</v>
      </c>
      <c r="E31" s="29" t="n">
        <v>11765</v>
      </c>
      <c r="F31" s="29" t="n">
        <v>11765</v>
      </c>
      <c r="G31" s="25" t="s">
        <v>62</v>
      </c>
      <c r="H31" s="26" t="s">
        <v>63</v>
      </c>
    </row>
    <row r="32" customFormat="false" ht="15" hidden="false" customHeight="false" outlineLevel="0" collapsed="false">
      <c r="B32" s="22" t="s">
        <v>64</v>
      </c>
      <c r="C32" s="23" t="s">
        <v>61</v>
      </c>
      <c r="D32" s="30" t="n">
        <f aca="false">D27*D31</f>
        <v>3529500</v>
      </c>
      <c r="E32" s="30" t="n">
        <f aca="false">E27*E31</f>
        <v>3529500</v>
      </c>
      <c r="F32" s="30" t="n">
        <f aca="false">F27*F31</f>
        <v>3529500</v>
      </c>
      <c r="G32" s="25" t="s">
        <v>65</v>
      </c>
    </row>
    <row r="34" customFormat="false" ht="19.5" hidden="false" customHeight="true" outlineLevel="0" collapsed="false">
      <c r="B34" s="8" t="s">
        <v>66</v>
      </c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B35" s="22" t="s">
        <v>67</v>
      </c>
      <c r="C35" s="23" t="s">
        <v>14</v>
      </c>
      <c r="D35" s="24" t="n">
        <v>5000</v>
      </c>
      <c r="E35" s="24" t="n">
        <v>5000</v>
      </c>
      <c r="F35" s="24" t="n">
        <v>5000</v>
      </c>
      <c r="G35" s="25" t="s">
        <v>68</v>
      </c>
      <c r="H35" s="27" t="s">
        <v>55</v>
      </c>
    </row>
    <row r="36" customFormat="false" ht="15" hidden="false" customHeight="false" outlineLevel="0" collapsed="false">
      <c r="B36" s="22" t="s">
        <v>69</v>
      </c>
      <c r="C36" s="23" t="s">
        <v>14</v>
      </c>
      <c r="D36" s="31" t="n">
        <v>5</v>
      </c>
      <c r="E36" s="31" t="n">
        <v>4</v>
      </c>
      <c r="F36" s="31" t="n">
        <v>3</v>
      </c>
      <c r="G36" s="25" t="s">
        <v>70</v>
      </c>
      <c r="H36" s="26" t="s">
        <v>71</v>
      </c>
    </row>
    <row r="37" customFormat="false" ht="15" hidden="false" customHeight="false" outlineLevel="0" collapsed="false">
      <c r="B37" s="22" t="s">
        <v>72</v>
      </c>
      <c r="C37" s="23" t="s">
        <v>37</v>
      </c>
      <c r="D37" s="32" t="n">
        <f aca="false">IF(D36&gt;0,D35/D36*1000,0)</f>
        <v>1000000</v>
      </c>
      <c r="E37" s="32" t="n">
        <f aca="false">IF(E36&gt;0,E35/E36*1000,0)</f>
        <v>1250000</v>
      </c>
      <c r="F37" s="32" t="n">
        <f aca="false">IF(F36&gt;0,F35/F36*1000,0)</f>
        <v>1666666.66666667</v>
      </c>
      <c r="G37" s="25" t="s">
        <v>73</v>
      </c>
    </row>
    <row r="38" customFormat="false" ht="15" hidden="false" customHeight="false" outlineLevel="0" collapsed="false">
      <c r="B38" s="22" t="s">
        <v>74</v>
      </c>
      <c r="C38" s="23" t="s">
        <v>57</v>
      </c>
      <c r="D38" s="28" t="n">
        <v>0.008</v>
      </c>
      <c r="E38" s="28" t="n">
        <v>0.01</v>
      </c>
      <c r="F38" s="28" t="n">
        <v>0.012</v>
      </c>
      <c r="G38" s="25" t="s">
        <v>75</v>
      </c>
      <c r="H38" s="26" t="s">
        <v>76</v>
      </c>
    </row>
    <row r="39" customFormat="false" ht="15" hidden="false" customHeight="false" outlineLevel="0" collapsed="false">
      <c r="B39" s="22" t="s">
        <v>77</v>
      </c>
      <c r="C39" s="23" t="s">
        <v>37</v>
      </c>
      <c r="D39" s="32" t="n">
        <f aca="false">D37*D38</f>
        <v>8000</v>
      </c>
      <c r="E39" s="32" t="n">
        <f aca="false">E37*E38</f>
        <v>12500</v>
      </c>
      <c r="F39" s="32" t="n">
        <f aca="false">F37*F38</f>
        <v>20000</v>
      </c>
      <c r="G39" s="25" t="s">
        <v>78</v>
      </c>
    </row>
    <row r="40" customFormat="false" ht="15" hidden="false" customHeight="false" outlineLevel="0" collapsed="false">
      <c r="B40" s="22" t="s">
        <v>79</v>
      </c>
      <c r="C40" s="23" t="s">
        <v>14</v>
      </c>
      <c r="D40" s="33" t="n">
        <f aca="false">IF(D39&gt;0,D35/D39,0)</f>
        <v>0.625</v>
      </c>
      <c r="E40" s="33" t="n">
        <f aca="false">IF(E39&gt;0,E35/E39,0)</f>
        <v>0.4</v>
      </c>
      <c r="F40" s="33" t="n">
        <f aca="false">IF(F39&gt;0,F35/F39,0)</f>
        <v>0.25</v>
      </c>
      <c r="G40" s="25" t="s">
        <v>80</v>
      </c>
    </row>
    <row r="41" customFormat="false" ht="15" hidden="false" customHeight="false" outlineLevel="0" collapsed="false">
      <c r="B41" s="22" t="s">
        <v>81</v>
      </c>
      <c r="C41" s="23" t="s">
        <v>57</v>
      </c>
      <c r="D41" s="28" t="n">
        <v>0.08</v>
      </c>
      <c r="E41" s="28" t="n">
        <v>0.1</v>
      </c>
      <c r="F41" s="28" t="n">
        <v>0.125</v>
      </c>
      <c r="G41" s="25" t="s">
        <v>82</v>
      </c>
      <c r="H41" s="26" t="s">
        <v>83</v>
      </c>
    </row>
    <row r="42" customFormat="false" ht="15" hidden="false" customHeight="false" outlineLevel="0" collapsed="false">
      <c r="B42" s="34" t="s">
        <v>84</v>
      </c>
      <c r="C42" s="35" t="s">
        <v>85</v>
      </c>
      <c r="D42" s="36" t="n">
        <f aca="false">D39*D41</f>
        <v>640</v>
      </c>
      <c r="E42" s="36" t="n">
        <f aca="false">E39*E41</f>
        <v>1250</v>
      </c>
      <c r="F42" s="36" t="n">
        <f aca="false">F39*F41</f>
        <v>2500</v>
      </c>
      <c r="G42" s="37" t="s">
        <v>86</v>
      </c>
      <c r="H42" s="38"/>
    </row>
    <row r="43" customFormat="false" ht="15" hidden="false" customHeight="false" outlineLevel="0" collapsed="false">
      <c r="B43" s="34" t="s">
        <v>87</v>
      </c>
      <c r="C43" s="35" t="s">
        <v>14</v>
      </c>
      <c r="D43" s="39" t="n">
        <f aca="false">IF(D42&gt;0,D35/D42,0)</f>
        <v>7.8125</v>
      </c>
      <c r="E43" s="39" t="n">
        <f aca="false">IF(E42&gt;0,E35/E42,0)</f>
        <v>4</v>
      </c>
      <c r="F43" s="39" t="n">
        <f aca="false">IF(F42&gt;0,F35/F42,0)</f>
        <v>2</v>
      </c>
      <c r="G43" s="37" t="s">
        <v>88</v>
      </c>
      <c r="H43" s="40" t="s">
        <v>71</v>
      </c>
    </row>
    <row r="45" customFormat="false" ht="19.5" hidden="false" customHeight="true" outlineLevel="0" collapsed="false">
      <c r="B45" s="8" t="s">
        <v>89</v>
      </c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B46" s="22" t="s">
        <v>90</v>
      </c>
      <c r="C46" s="23"/>
      <c r="D46" s="41" t="s">
        <v>91</v>
      </c>
      <c r="E46" s="41" t="s">
        <v>91</v>
      </c>
      <c r="F46" s="41" t="s">
        <v>91</v>
      </c>
      <c r="G46" s="25" t="s">
        <v>92</v>
      </c>
      <c r="H46" s="27" t="s">
        <v>55</v>
      </c>
    </row>
    <row r="47" customFormat="false" ht="15" hidden="false" customHeight="false" outlineLevel="0" collapsed="false">
      <c r="B47" s="22" t="s">
        <v>93</v>
      </c>
      <c r="C47" s="23" t="s">
        <v>57</v>
      </c>
      <c r="D47" s="28" t="n">
        <v>0.2</v>
      </c>
      <c r="E47" s="28" t="n">
        <v>0.3</v>
      </c>
      <c r="F47" s="28" t="n">
        <v>0.4</v>
      </c>
      <c r="G47" s="25" t="s">
        <v>94</v>
      </c>
      <c r="H47" s="26" t="s">
        <v>95</v>
      </c>
    </row>
    <row r="48" customFormat="false" ht="15" hidden="false" customHeight="false" outlineLevel="0" collapsed="false">
      <c r="B48" s="22" t="s">
        <v>96</v>
      </c>
      <c r="C48" s="23" t="s">
        <v>57</v>
      </c>
      <c r="D48" s="28" t="n">
        <v>1</v>
      </c>
      <c r="E48" s="28" t="n">
        <v>1</v>
      </c>
      <c r="F48" s="28" t="n">
        <v>1</v>
      </c>
      <c r="G48" s="25" t="s">
        <v>97</v>
      </c>
      <c r="H48" s="27" t="s">
        <v>55</v>
      </c>
    </row>
    <row r="49" customFormat="false" ht="15" hidden="false" customHeight="false" outlineLevel="0" collapsed="false">
      <c r="B49" s="34" t="s">
        <v>98</v>
      </c>
      <c r="C49" s="35" t="s">
        <v>85</v>
      </c>
      <c r="D49" s="36" t="n">
        <f aca="false">D42*D47*D48</f>
        <v>128</v>
      </c>
      <c r="E49" s="36" t="n">
        <f aca="false">E42*E47*E48</f>
        <v>375</v>
      </c>
      <c r="F49" s="36" t="n">
        <f aca="false">F42*F47*F48</f>
        <v>1000</v>
      </c>
      <c r="G49" s="37" t="s">
        <v>99</v>
      </c>
      <c r="H49" s="38"/>
    </row>
    <row r="50" customFormat="false" ht="15" hidden="false" customHeight="false" outlineLevel="0" collapsed="false">
      <c r="B50" s="22" t="s">
        <v>100</v>
      </c>
      <c r="C50" s="23" t="s">
        <v>57</v>
      </c>
      <c r="D50" s="28" t="n">
        <v>0.01</v>
      </c>
      <c r="E50" s="28" t="n">
        <v>0.015</v>
      </c>
      <c r="F50" s="28" t="n">
        <v>0.02</v>
      </c>
      <c r="G50" s="25" t="s">
        <v>101</v>
      </c>
      <c r="H50" s="26" t="s">
        <v>102</v>
      </c>
    </row>
    <row r="51" customFormat="false" ht="15" hidden="false" customHeight="false" outlineLevel="0" collapsed="false">
      <c r="B51" s="22" t="s">
        <v>103</v>
      </c>
      <c r="C51" s="23" t="s">
        <v>37</v>
      </c>
      <c r="D51" s="42" t="n">
        <f aca="false">D49*D50</f>
        <v>1.28</v>
      </c>
      <c r="E51" s="42" t="n">
        <f aca="false">E49*E50</f>
        <v>5.625</v>
      </c>
      <c r="F51" s="42" t="n">
        <f aca="false">F49*F50</f>
        <v>20</v>
      </c>
      <c r="G51" s="25"/>
    </row>
    <row r="52" customFormat="false" ht="15" hidden="false" customHeight="false" outlineLevel="0" collapsed="false">
      <c r="B52" s="22" t="s">
        <v>104</v>
      </c>
      <c r="C52" s="23" t="s">
        <v>57</v>
      </c>
      <c r="D52" s="28" t="n">
        <v>0.015</v>
      </c>
      <c r="E52" s="28" t="n">
        <v>0.02</v>
      </c>
      <c r="F52" s="28" t="n">
        <v>0.03</v>
      </c>
      <c r="G52" s="25" t="s">
        <v>105</v>
      </c>
      <c r="H52" s="26" t="s">
        <v>102</v>
      </c>
    </row>
    <row r="53" customFormat="false" ht="15" hidden="false" customHeight="false" outlineLevel="0" collapsed="false">
      <c r="B53" s="22" t="s">
        <v>106</v>
      </c>
      <c r="C53" s="23" t="s">
        <v>37</v>
      </c>
      <c r="D53" s="42" t="n">
        <f aca="false">D49*D52</f>
        <v>1.92</v>
      </c>
      <c r="E53" s="42" t="n">
        <f aca="false">E49*E52</f>
        <v>7.5</v>
      </c>
      <c r="F53" s="42" t="n">
        <f aca="false">F49*F52</f>
        <v>30</v>
      </c>
      <c r="G53" s="25"/>
    </row>
    <row r="54" customFormat="false" ht="15" hidden="false" customHeight="false" outlineLevel="0" collapsed="false">
      <c r="B54" s="22" t="s">
        <v>107</v>
      </c>
      <c r="C54" s="23" t="s">
        <v>57</v>
      </c>
      <c r="D54" s="28" t="n">
        <v>0.05</v>
      </c>
      <c r="E54" s="28" t="n">
        <v>0.06</v>
      </c>
      <c r="F54" s="28" t="n">
        <v>0.08</v>
      </c>
      <c r="G54" s="25" t="s">
        <v>108</v>
      </c>
      <c r="H54" s="26" t="s">
        <v>102</v>
      </c>
    </row>
    <row r="55" customFormat="false" ht="15" hidden="false" customHeight="false" outlineLevel="0" collapsed="false">
      <c r="B55" s="22" t="s">
        <v>109</v>
      </c>
      <c r="C55" s="23" t="s">
        <v>37</v>
      </c>
      <c r="D55" s="42" t="n">
        <f aca="false">D49*D54</f>
        <v>6.4</v>
      </c>
      <c r="E55" s="42" t="n">
        <f aca="false">E49*E54</f>
        <v>22.5</v>
      </c>
      <c r="F55" s="42" t="n">
        <f aca="false">F49*F54</f>
        <v>80</v>
      </c>
      <c r="G55" s="25"/>
    </row>
    <row r="56" customFormat="false" ht="15" hidden="false" customHeight="false" outlineLevel="0" collapsed="false">
      <c r="B56" s="43" t="s">
        <v>110</v>
      </c>
      <c r="C56" s="44"/>
      <c r="D56" s="45" t="str">
        <f aca="false">IF(D50+D52+D54&gt;1,"ОШИБКА: больше 100%","ок")</f>
        <v>ок</v>
      </c>
      <c r="E56" s="45" t="str">
        <f aca="false">IF(E50+E52+E54&gt;1,"ОШИБКА: больше 100%","ок")</f>
        <v>ок</v>
      </c>
      <c r="F56" s="45" t="str">
        <f aca="false">IF(F50+F52+F54&gt;1,"ОШИБКА: больше 100%","ок")</f>
        <v>ок</v>
      </c>
      <c r="G56" s="46"/>
    </row>
    <row r="57" customFormat="false" ht="15" hidden="false" customHeight="false" outlineLevel="0" collapsed="false">
      <c r="B57" s="22" t="s">
        <v>111</v>
      </c>
      <c r="C57" s="23" t="s">
        <v>85</v>
      </c>
      <c r="D57" s="32" t="n">
        <f aca="false">MAX(0,D49-D51-D53-D55)</f>
        <v>118.4</v>
      </c>
      <c r="E57" s="32" t="n">
        <f aca="false">MAX(0,E49-E51-E53-E55)</f>
        <v>339.375</v>
      </c>
      <c r="F57" s="32" t="n">
        <f aca="false">MAX(0,F49-F51-F53-F55)</f>
        <v>870</v>
      </c>
      <c r="G57" s="25" t="s">
        <v>112</v>
      </c>
    </row>
    <row r="58" customFormat="false" ht="15" hidden="false" customHeight="false" outlineLevel="0" collapsed="false">
      <c r="B58" s="22" t="s">
        <v>113</v>
      </c>
      <c r="C58" s="23" t="s">
        <v>85</v>
      </c>
      <c r="D58" s="32" t="n">
        <f aca="false">MAX(0,D42-D49)</f>
        <v>512</v>
      </c>
      <c r="E58" s="32" t="n">
        <f aca="false">MAX(0,E42-E49)</f>
        <v>875</v>
      </c>
      <c r="F58" s="32" t="n">
        <f aca="false">MAX(0,F42-F49)</f>
        <v>1500</v>
      </c>
      <c r="G58" s="25" t="s">
        <v>114</v>
      </c>
    </row>
    <row r="60" customFormat="false" ht="19.5" hidden="false" customHeight="true" outlineLevel="0" collapsed="false">
      <c r="B60" s="8" t="s">
        <v>115</v>
      </c>
      <c r="C60" s="8"/>
      <c r="D60" s="8"/>
      <c r="E60" s="8"/>
      <c r="F60" s="8"/>
      <c r="G60" s="8"/>
      <c r="H60" s="8"/>
    </row>
    <row r="61" customFormat="false" ht="15" hidden="false" customHeight="false" outlineLevel="0" collapsed="false">
      <c r="B61" s="22" t="s">
        <v>116</v>
      </c>
      <c r="C61" s="23" t="s">
        <v>57</v>
      </c>
      <c r="D61" s="28" t="n">
        <v>1</v>
      </c>
      <c r="E61" s="28" t="n">
        <v>1</v>
      </c>
      <c r="F61" s="28" t="n">
        <v>1</v>
      </c>
      <c r="G61" s="25" t="s">
        <v>117</v>
      </c>
      <c r="H61" s="27" t="s">
        <v>55</v>
      </c>
    </row>
    <row r="62" customFormat="false" ht="15" hidden="false" customHeight="false" outlineLevel="0" collapsed="false">
      <c r="B62" s="22" t="s">
        <v>118</v>
      </c>
      <c r="C62" s="23" t="s">
        <v>57</v>
      </c>
      <c r="D62" s="28" t="n">
        <v>0.2</v>
      </c>
      <c r="E62" s="28" t="n">
        <v>0.25</v>
      </c>
      <c r="F62" s="28" t="n">
        <v>0.3</v>
      </c>
      <c r="G62" s="25" t="s">
        <v>119</v>
      </c>
      <c r="H62" s="27" t="s">
        <v>55</v>
      </c>
    </row>
    <row r="63" customFormat="false" ht="15" hidden="false" customHeight="false" outlineLevel="0" collapsed="false">
      <c r="B63" s="22" t="s">
        <v>120</v>
      </c>
      <c r="C63" s="23" t="s">
        <v>57</v>
      </c>
      <c r="D63" s="28" t="n">
        <v>0.06</v>
      </c>
      <c r="E63" s="28" t="n">
        <v>0.08</v>
      </c>
      <c r="F63" s="28" t="n">
        <v>0.1</v>
      </c>
      <c r="G63" s="25" t="s">
        <v>121</v>
      </c>
      <c r="H63" s="27" t="s">
        <v>55</v>
      </c>
    </row>
    <row r="64" customFormat="false" ht="15" hidden="false" customHeight="false" outlineLevel="0" collapsed="false">
      <c r="B64" s="22" t="s">
        <v>122</v>
      </c>
      <c r="C64" s="23" t="s">
        <v>57</v>
      </c>
      <c r="D64" s="28" t="n">
        <v>0.01</v>
      </c>
      <c r="E64" s="28" t="n">
        <v>0.015</v>
      </c>
      <c r="F64" s="28" t="n">
        <v>0.02</v>
      </c>
      <c r="G64" s="25" t="s">
        <v>123</v>
      </c>
      <c r="H64" s="26" t="s">
        <v>124</v>
      </c>
    </row>
    <row r="65" customFormat="false" ht="15" hidden="false" customHeight="false" outlineLevel="0" collapsed="false">
      <c r="B65" s="22" t="s">
        <v>125</v>
      </c>
      <c r="C65" s="23" t="s">
        <v>57</v>
      </c>
      <c r="D65" s="28" t="n">
        <v>0.06</v>
      </c>
      <c r="E65" s="28" t="n">
        <v>0.08</v>
      </c>
      <c r="F65" s="28" t="n">
        <v>0.1</v>
      </c>
      <c r="G65" s="25" t="s">
        <v>126</v>
      </c>
      <c r="H65" s="27" t="s">
        <v>55</v>
      </c>
    </row>
    <row r="66" customFormat="false" ht="15" hidden="false" customHeight="false" outlineLevel="0" collapsed="false">
      <c r="B66" s="43" t="s">
        <v>127</v>
      </c>
      <c r="C66" s="44"/>
      <c r="D66" s="45" t="str">
        <f aca="false">IF(D64+D65&gt;1,"ОШИБКА: больше 100%","ок")</f>
        <v>ок</v>
      </c>
      <c r="E66" s="45" t="str">
        <f aca="false">IF(E64+E65&gt;1,"ОШИБКА: больше 100%","ок")</f>
        <v>ок</v>
      </c>
      <c r="F66" s="45" t="str">
        <f aca="false">IF(F64+F65&gt;1,"ОШИБКА: больше 100%","ок")</f>
        <v>ок</v>
      </c>
      <c r="G66" s="46"/>
    </row>
    <row r="67" customFormat="false" ht="15" hidden="false" customHeight="false" outlineLevel="0" collapsed="false">
      <c r="B67" s="22" t="s">
        <v>128</v>
      </c>
      <c r="C67" s="23" t="s">
        <v>57</v>
      </c>
      <c r="D67" s="28" t="n">
        <v>0.6</v>
      </c>
      <c r="E67" s="28" t="n">
        <v>0.7</v>
      </c>
      <c r="F67" s="28" t="n">
        <v>0.8</v>
      </c>
      <c r="G67" s="25" t="s">
        <v>129</v>
      </c>
      <c r="H67" s="26" t="s">
        <v>130</v>
      </c>
    </row>
    <row r="68" customFormat="false" ht="15" hidden="false" customHeight="false" outlineLevel="0" collapsed="false">
      <c r="B68" s="22" t="s">
        <v>131</v>
      </c>
      <c r="C68" s="23" t="s">
        <v>57</v>
      </c>
      <c r="D68" s="28" t="n">
        <v>0.25</v>
      </c>
      <c r="E68" s="28" t="n">
        <v>0.35</v>
      </c>
      <c r="F68" s="28" t="n">
        <v>0.45</v>
      </c>
      <c r="G68" s="25" t="s">
        <v>132</v>
      </c>
      <c r="H68" s="26" t="s">
        <v>52</v>
      </c>
    </row>
    <row r="69" customFormat="false" ht="15" hidden="false" customHeight="false" outlineLevel="0" collapsed="false">
      <c r="B69" s="22" t="s">
        <v>133</v>
      </c>
      <c r="C69" s="23" t="s">
        <v>57</v>
      </c>
      <c r="D69" s="28" t="n">
        <v>0.2</v>
      </c>
      <c r="E69" s="28" t="n">
        <v>0.25</v>
      </c>
      <c r="F69" s="28" t="n">
        <v>0.3</v>
      </c>
      <c r="G69" s="25" t="s">
        <v>134</v>
      </c>
      <c r="H69" s="27" t="s">
        <v>55</v>
      </c>
    </row>
    <row r="71" customFormat="false" ht="19.5" hidden="false" customHeight="true" outlineLevel="0" collapsed="false">
      <c r="B71" s="8" t="s">
        <v>135</v>
      </c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B72" s="22" t="s">
        <v>136</v>
      </c>
      <c r="C72" s="23" t="s">
        <v>37</v>
      </c>
      <c r="D72" s="42" t="n">
        <f aca="false">D51</f>
        <v>1.28</v>
      </c>
      <c r="E72" s="42" t="n">
        <f aca="false">E51</f>
        <v>5.625</v>
      </c>
      <c r="F72" s="42" t="n">
        <f aca="false">F51</f>
        <v>20</v>
      </c>
      <c r="G72" s="25"/>
    </row>
    <row r="73" customFormat="false" ht="15" hidden="false" customHeight="false" outlineLevel="0" collapsed="false">
      <c r="B73" s="22" t="s">
        <v>137</v>
      </c>
      <c r="C73" s="23" t="s">
        <v>37</v>
      </c>
      <c r="D73" s="42" t="n">
        <f aca="false">D53*D67</f>
        <v>1.152</v>
      </c>
      <c r="E73" s="42" t="n">
        <f aca="false">E53*E67</f>
        <v>5.25</v>
      </c>
      <c r="F73" s="42" t="n">
        <f aca="false">F53*F67</f>
        <v>24</v>
      </c>
      <c r="G73" s="25" t="s">
        <v>138</v>
      </c>
    </row>
    <row r="74" customFormat="false" ht="15" hidden="false" customHeight="false" outlineLevel="0" collapsed="false">
      <c r="B74" s="22" t="s">
        <v>139</v>
      </c>
      <c r="C74" s="23" t="s">
        <v>37</v>
      </c>
      <c r="D74" s="42" t="n">
        <f aca="false">D55*D68</f>
        <v>1.6</v>
      </c>
      <c r="E74" s="42" t="n">
        <f aca="false">E55*E68</f>
        <v>7.875</v>
      </c>
      <c r="F74" s="42" t="n">
        <f aca="false">F55*F68</f>
        <v>36</v>
      </c>
      <c r="G74" s="25" t="s">
        <v>140</v>
      </c>
    </row>
    <row r="75" customFormat="false" ht="15" hidden="false" customHeight="false" outlineLevel="0" collapsed="false">
      <c r="B75" s="22" t="s">
        <v>141</v>
      </c>
      <c r="C75" s="23" t="s">
        <v>37</v>
      </c>
      <c r="D75" s="32" t="n">
        <f aca="false">(D57*D62+D58*D63)*D61</f>
        <v>54.4</v>
      </c>
      <c r="E75" s="32" t="n">
        <f aca="false">(E57*E62+E58*E63)*E61</f>
        <v>154.84375</v>
      </c>
      <c r="F75" s="32" t="n">
        <f aca="false">(F57*F62+F58*F63)*F61</f>
        <v>411</v>
      </c>
      <c r="G75" s="25" t="s">
        <v>142</v>
      </c>
    </row>
    <row r="76" customFormat="false" ht="15" hidden="false" customHeight="false" outlineLevel="0" collapsed="false">
      <c r="B76" s="22" t="s">
        <v>143</v>
      </c>
      <c r="C76" s="23" t="s">
        <v>37</v>
      </c>
      <c r="D76" s="42" t="n">
        <f aca="false">D75*D64</f>
        <v>0.544</v>
      </c>
      <c r="E76" s="42" t="n">
        <f aca="false">E75*E64</f>
        <v>2.32265625</v>
      </c>
      <c r="F76" s="42" t="n">
        <f aca="false">F75*F64</f>
        <v>8.22</v>
      </c>
      <c r="G76" s="25"/>
    </row>
    <row r="77" customFormat="false" ht="15" hidden="false" customHeight="false" outlineLevel="0" collapsed="false">
      <c r="B77" s="22" t="s">
        <v>144</v>
      </c>
      <c r="C77" s="23" t="s">
        <v>37</v>
      </c>
      <c r="D77" s="42" t="n">
        <f aca="false">D75*D65</f>
        <v>3.264</v>
      </c>
      <c r="E77" s="42" t="n">
        <f aca="false">E75*E65</f>
        <v>12.3875</v>
      </c>
      <c r="F77" s="42" t="n">
        <f aca="false">F75*F65</f>
        <v>41.1</v>
      </c>
      <c r="G77" s="25"/>
    </row>
    <row r="78" customFormat="false" ht="15" hidden="false" customHeight="false" outlineLevel="0" collapsed="false">
      <c r="B78" s="22" t="s">
        <v>145</v>
      </c>
      <c r="C78" s="23" t="s">
        <v>37</v>
      </c>
      <c r="D78" s="42" t="n">
        <f aca="false">D77*D69</f>
        <v>0.6528</v>
      </c>
      <c r="E78" s="42" t="n">
        <f aca="false">E77*E69</f>
        <v>3.096875</v>
      </c>
      <c r="F78" s="42" t="n">
        <f aca="false">F77*F69</f>
        <v>12.33</v>
      </c>
      <c r="G78" s="25"/>
    </row>
    <row r="79" customFormat="false" ht="15" hidden="false" customHeight="false" outlineLevel="0" collapsed="false">
      <c r="B79" s="47" t="s">
        <v>146</v>
      </c>
      <c r="C79" s="48" t="s">
        <v>37</v>
      </c>
      <c r="D79" s="49" t="n">
        <f aca="false">D72+D73+D74+D76+D78</f>
        <v>5.2288</v>
      </c>
      <c r="E79" s="49" t="n">
        <f aca="false">E72+E73+E74+E76+E78</f>
        <v>24.16953125</v>
      </c>
      <c r="F79" s="49" t="n">
        <f aca="false">F72+F73+F74+F76+F78</f>
        <v>100.55</v>
      </c>
      <c r="G79" s="50"/>
      <c r="H79" s="51"/>
    </row>
    <row r="80" customFormat="false" ht="15" hidden="false" customHeight="false" outlineLevel="0" collapsed="false">
      <c r="B80" s="22" t="s">
        <v>147</v>
      </c>
      <c r="C80" s="23" t="s">
        <v>37</v>
      </c>
      <c r="D80" s="42" t="n">
        <f aca="false">D79*D29</f>
        <v>0</v>
      </c>
      <c r="E80" s="42" t="n">
        <f aca="false">E79*E29</f>
        <v>0</v>
      </c>
      <c r="F80" s="42" t="n">
        <f aca="false">F79*F29</f>
        <v>0</v>
      </c>
      <c r="G80" s="25"/>
    </row>
    <row r="81" customFormat="false" ht="15" hidden="false" customHeight="false" outlineLevel="0" collapsed="false">
      <c r="B81" s="47" t="s">
        <v>148</v>
      </c>
      <c r="C81" s="48" t="s">
        <v>14</v>
      </c>
      <c r="D81" s="52" t="n">
        <f aca="false">D79*D27+D80*D30</f>
        <v>1568.64</v>
      </c>
      <c r="E81" s="52" t="n">
        <f aca="false">E79*E27+E80*E30</f>
        <v>7250.859375</v>
      </c>
      <c r="F81" s="52" t="n">
        <f aca="false">F79*F27+F80*F30</f>
        <v>30165</v>
      </c>
      <c r="G81" s="50" t="s">
        <v>149</v>
      </c>
      <c r="H81" s="51"/>
    </row>
    <row r="82" customFormat="false" ht="15" hidden="false" customHeight="false" outlineLevel="0" collapsed="false">
      <c r="B82" s="22" t="s">
        <v>150</v>
      </c>
      <c r="C82" s="23" t="s">
        <v>14</v>
      </c>
      <c r="D82" s="53" t="n">
        <f aca="false">(D73+D74+D78)*D27+D80*D30</f>
        <v>1021.44</v>
      </c>
      <c r="E82" s="53" t="n">
        <f aca="false">(E73+E74+E78)*E27+E80*E30</f>
        <v>4866.5625</v>
      </c>
      <c r="F82" s="53" t="n">
        <f aca="false">(F73+F74+F78)*F27+F80*F30</f>
        <v>21699</v>
      </c>
      <c r="G82" s="25" t="s">
        <v>151</v>
      </c>
    </row>
    <row r="83" customFormat="false" ht="15" hidden="false" customHeight="false" outlineLevel="0" collapsed="false">
      <c r="B83" s="22" t="s">
        <v>152</v>
      </c>
      <c r="C83" s="23" t="s">
        <v>14</v>
      </c>
      <c r="D83" s="53" t="n">
        <f aca="false">(D76+D78)*D27</f>
        <v>359.04</v>
      </c>
      <c r="E83" s="53" t="n">
        <f aca="false">(E76+E78)*E27</f>
        <v>1625.859375</v>
      </c>
      <c r="F83" s="53" t="n">
        <f aca="false">(F76+F78)*F27</f>
        <v>6165</v>
      </c>
      <c r="G83" s="25"/>
    </row>
    <row r="84" customFormat="false" ht="15" hidden="false" customHeight="false" outlineLevel="0" collapsed="false">
      <c r="B84" s="22" t="s">
        <v>153</v>
      </c>
      <c r="C84" s="23" t="s">
        <v>57</v>
      </c>
      <c r="D84" s="54" t="n">
        <f aca="false">IF(D42&gt;0,D79/D42,0)</f>
        <v>0.00817</v>
      </c>
      <c r="E84" s="54" t="n">
        <f aca="false">IF(E42&gt;0,E79/E42,0)</f>
        <v>0.019335625</v>
      </c>
      <c r="F84" s="54" t="n">
        <f aca="false">IF(F42&gt;0,F79/F42,0)</f>
        <v>0.04022</v>
      </c>
      <c r="G84" s="25"/>
    </row>
    <row r="85" customFormat="false" ht="15" hidden="false" customHeight="false" outlineLevel="0" collapsed="false">
      <c r="B85" s="22" t="s">
        <v>154</v>
      </c>
      <c r="C85" s="23" t="s">
        <v>14</v>
      </c>
      <c r="D85" s="53" t="n">
        <f aca="false">IF(D79&gt;0,D35/D79,0)</f>
        <v>956.242350061199</v>
      </c>
      <c r="E85" s="53" t="n">
        <f aca="false">IF(E79&gt;0,E35/E79,0)</f>
        <v>206.872030255034</v>
      </c>
      <c r="F85" s="53" t="n">
        <f aca="false">IF(F79&gt;0,F35/F79,0)</f>
        <v>49.7265042267529</v>
      </c>
      <c r="G85" s="25"/>
    </row>
    <row r="86" customFormat="false" ht="15" hidden="false" customHeight="false" outlineLevel="0" collapsed="false">
      <c r="B86" s="22" t="s">
        <v>155</v>
      </c>
      <c r="C86" s="23" t="s">
        <v>34</v>
      </c>
      <c r="D86" s="55" t="n">
        <f aca="false">IF(D35&gt;0,D81/D35,0)</f>
        <v>0.313728</v>
      </c>
      <c r="E86" s="55" t="n">
        <f aca="false">IF(E35&gt;0,E81/E35,0)</f>
        <v>1.450171875</v>
      </c>
      <c r="F86" s="55" t="n">
        <f aca="false">IF(F35&gt;0,F81/F35,0)</f>
        <v>6.033</v>
      </c>
      <c r="G86" s="25" t="s">
        <v>156</v>
      </c>
    </row>
    <row r="88" customFormat="false" ht="19.5" hidden="false" customHeight="true" outlineLevel="0" collapsed="false">
      <c r="B88" s="8" t="s">
        <v>157</v>
      </c>
      <c r="C88" s="8"/>
      <c r="D88" s="8"/>
      <c r="E88" s="8"/>
      <c r="F88" s="8"/>
      <c r="G88" s="8"/>
      <c r="H88" s="8"/>
    </row>
    <row r="89" customFormat="false" ht="15" hidden="false" customHeight="false" outlineLevel="0" collapsed="false">
      <c r="B89" s="22" t="s">
        <v>158</v>
      </c>
      <c r="C89" s="23" t="s">
        <v>85</v>
      </c>
      <c r="D89" s="56" t="n">
        <v>0</v>
      </c>
      <c r="E89" s="56" t="n">
        <v>0</v>
      </c>
      <c r="F89" s="56" t="n">
        <v>0</v>
      </c>
      <c r="G89" s="25" t="s">
        <v>159</v>
      </c>
      <c r="H89" s="27" t="s">
        <v>55</v>
      </c>
    </row>
    <row r="90" customFormat="false" ht="15" hidden="false" customHeight="false" outlineLevel="0" collapsed="false">
      <c r="B90" s="22" t="s">
        <v>160</v>
      </c>
      <c r="C90" s="23" t="s">
        <v>57</v>
      </c>
      <c r="D90" s="28" t="n">
        <v>0.15</v>
      </c>
      <c r="E90" s="28" t="n">
        <v>0.25</v>
      </c>
      <c r="F90" s="28" t="n">
        <v>0.3</v>
      </c>
      <c r="G90" s="25" t="s">
        <v>161</v>
      </c>
      <c r="H90" s="27" t="s">
        <v>55</v>
      </c>
    </row>
    <row r="91" customFormat="false" ht="15" hidden="false" customHeight="false" outlineLevel="0" collapsed="false">
      <c r="B91" s="22" t="s">
        <v>162</v>
      </c>
      <c r="C91" s="23" t="s">
        <v>85</v>
      </c>
      <c r="D91" s="32" t="n">
        <f aca="false">D42*D90</f>
        <v>96</v>
      </c>
      <c r="E91" s="32" t="n">
        <f aca="false">E42*E90</f>
        <v>312.5</v>
      </c>
      <c r="F91" s="32" t="n">
        <f aca="false">F42*F90</f>
        <v>750</v>
      </c>
      <c r="G91" s="25"/>
    </row>
    <row r="92" customFormat="false" ht="15" hidden="false" customHeight="false" outlineLevel="0" collapsed="false">
      <c r="B92" s="22" t="s">
        <v>163</v>
      </c>
      <c r="C92" s="23" t="s">
        <v>85</v>
      </c>
      <c r="D92" s="56" t="n">
        <v>100</v>
      </c>
      <c r="E92" s="56" t="n">
        <v>200</v>
      </c>
      <c r="F92" s="56" t="n">
        <v>300</v>
      </c>
      <c r="G92" s="25" t="s">
        <v>164</v>
      </c>
      <c r="H92" s="27" t="s">
        <v>55</v>
      </c>
    </row>
    <row r="93" customFormat="false" ht="15" hidden="false" customHeight="false" outlineLevel="0" collapsed="false">
      <c r="B93" s="22" t="s">
        <v>165</v>
      </c>
      <c r="C93" s="23" t="s">
        <v>57</v>
      </c>
      <c r="D93" s="28" t="n">
        <v>0.15</v>
      </c>
      <c r="E93" s="28" t="n">
        <v>0.1</v>
      </c>
      <c r="F93" s="28" t="n">
        <v>0.08</v>
      </c>
      <c r="G93" s="25" t="s">
        <v>166</v>
      </c>
      <c r="H93" s="26" t="s">
        <v>83</v>
      </c>
    </row>
    <row r="94" customFormat="false" ht="15" hidden="false" customHeight="false" outlineLevel="0" collapsed="false">
      <c r="B94" s="22" t="s">
        <v>167</v>
      </c>
      <c r="C94" s="23" t="s">
        <v>85</v>
      </c>
      <c r="D94" s="32" t="n">
        <f aca="false">(D89+D91+D92)*D93</f>
        <v>29.4</v>
      </c>
      <c r="E94" s="32" t="n">
        <f aca="false">(E89+E91+E92)*E93</f>
        <v>51.25</v>
      </c>
      <c r="F94" s="32" t="n">
        <f aca="false">(F89+F91+F92)*F93</f>
        <v>84</v>
      </c>
      <c r="G94" s="25"/>
    </row>
    <row r="95" customFormat="false" ht="15" hidden="false" customHeight="false" outlineLevel="0" collapsed="false">
      <c r="B95" s="22" t="s">
        <v>168</v>
      </c>
      <c r="C95" s="23" t="s">
        <v>85</v>
      </c>
      <c r="D95" s="32" t="n">
        <f aca="false">D79*D90</f>
        <v>0.78432</v>
      </c>
      <c r="E95" s="32" t="n">
        <f aca="false">E79*E90</f>
        <v>6.0423828125</v>
      </c>
      <c r="F95" s="32" t="n">
        <f aca="false">F79*F90</f>
        <v>30.165</v>
      </c>
      <c r="G95" s="25" t="s">
        <v>169</v>
      </c>
    </row>
    <row r="96" customFormat="false" ht="15" hidden="false" customHeight="false" outlineLevel="0" collapsed="false">
      <c r="B96" s="34" t="s">
        <v>170</v>
      </c>
      <c r="C96" s="35" t="s">
        <v>85</v>
      </c>
      <c r="D96" s="36" t="n">
        <f aca="false">MAX(0,D89+D91+D92-D94-D95)</f>
        <v>165.81568</v>
      </c>
      <c r="E96" s="36" t="n">
        <f aca="false">MAX(0,E89+E91+E92-E94-E95)</f>
        <v>455.2076171875</v>
      </c>
      <c r="F96" s="36" t="n">
        <f aca="false">MAX(0,F89+F91+F92-F94-F95)</f>
        <v>935.835</v>
      </c>
      <c r="G96" s="37"/>
      <c r="H96" s="38"/>
    </row>
    <row r="97" customFormat="false" ht="15" hidden="false" customHeight="false" outlineLevel="0" collapsed="false">
      <c r="B97" s="22" t="s">
        <v>171</v>
      </c>
      <c r="C97" s="23" t="s">
        <v>172</v>
      </c>
      <c r="D97" s="57" t="n">
        <v>2</v>
      </c>
      <c r="E97" s="57" t="n">
        <v>2</v>
      </c>
      <c r="F97" s="57" t="n">
        <v>2</v>
      </c>
      <c r="G97" s="25" t="s">
        <v>173</v>
      </c>
      <c r="H97" s="27" t="s">
        <v>55</v>
      </c>
    </row>
    <row r="99" customFormat="false" ht="19.5" hidden="false" customHeight="true" outlineLevel="0" collapsed="false">
      <c r="B99" s="8" t="s">
        <v>174</v>
      </c>
      <c r="C99" s="8"/>
      <c r="D99" s="8"/>
      <c r="E99" s="8"/>
      <c r="F99" s="8"/>
      <c r="G99" s="8"/>
      <c r="H99" s="8"/>
    </row>
    <row r="100" customFormat="false" ht="15" hidden="false" customHeight="false" outlineLevel="0" collapsed="false">
      <c r="B100" s="22" t="s">
        <v>90</v>
      </c>
      <c r="C100" s="23"/>
      <c r="D100" s="41" t="s">
        <v>175</v>
      </c>
      <c r="E100" s="41" t="s">
        <v>175</v>
      </c>
      <c r="F100" s="41" t="s">
        <v>175</v>
      </c>
      <c r="G100" s="25" t="s">
        <v>176</v>
      </c>
      <c r="H100" s="27" t="s">
        <v>55</v>
      </c>
    </row>
    <row r="101" customFormat="false" ht="15" hidden="false" customHeight="false" outlineLevel="0" collapsed="false">
      <c r="B101" s="22" t="s">
        <v>177</v>
      </c>
      <c r="C101" s="23" t="s">
        <v>57</v>
      </c>
      <c r="D101" s="28" t="n">
        <v>0.1</v>
      </c>
      <c r="E101" s="28" t="n">
        <v>0.15</v>
      </c>
      <c r="F101" s="28" t="n">
        <v>0.2</v>
      </c>
      <c r="G101" s="25" t="s">
        <v>178</v>
      </c>
      <c r="H101" s="26" t="s">
        <v>179</v>
      </c>
    </row>
    <row r="102" customFormat="false" ht="15" hidden="false" customHeight="false" outlineLevel="0" collapsed="false">
      <c r="B102" s="22" t="s">
        <v>180</v>
      </c>
      <c r="C102" s="23" t="s">
        <v>85</v>
      </c>
      <c r="D102" s="32" t="n">
        <f aca="false">D96*D101</f>
        <v>16.581568</v>
      </c>
      <c r="E102" s="32" t="n">
        <f aca="false">E96*E101</f>
        <v>68.281142578125</v>
      </c>
      <c r="F102" s="32" t="n">
        <f aca="false">F96*F101</f>
        <v>187.167</v>
      </c>
      <c r="G102" s="25"/>
    </row>
    <row r="103" customFormat="false" ht="15" hidden="false" customHeight="false" outlineLevel="0" collapsed="false">
      <c r="B103" s="22" t="s">
        <v>181</v>
      </c>
      <c r="C103" s="23" t="s">
        <v>85</v>
      </c>
      <c r="D103" s="32" t="n">
        <f aca="false">MAX(0,(D42*D61-D79)*(1-D90))</f>
        <v>539.55552</v>
      </c>
      <c r="E103" s="32" t="n">
        <f aca="false">MAX(0,(E42*E61-E79)*(1-E90))</f>
        <v>919.3728515625</v>
      </c>
      <c r="F103" s="32" t="n">
        <f aca="false">MAX(0,(F42*F61-F79)*(1-F90))</f>
        <v>1679.615</v>
      </c>
      <c r="G103" s="25" t="s">
        <v>182</v>
      </c>
    </row>
    <row r="104" customFormat="false" ht="15" hidden="false" customHeight="false" outlineLevel="0" collapsed="false">
      <c r="B104" s="22" t="s">
        <v>183</v>
      </c>
      <c r="C104" s="23" t="s">
        <v>57</v>
      </c>
      <c r="D104" s="28" t="n">
        <v>0.02</v>
      </c>
      <c r="E104" s="28" t="n">
        <v>0.03</v>
      </c>
      <c r="F104" s="28" t="n">
        <v>0.04</v>
      </c>
      <c r="G104" s="25"/>
      <c r="H104" s="27" t="s">
        <v>55</v>
      </c>
    </row>
    <row r="105" customFormat="false" ht="15" hidden="false" customHeight="false" outlineLevel="0" collapsed="false">
      <c r="B105" s="22" t="s">
        <v>184</v>
      </c>
      <c r="C105" s="23" t="s">
        <v>85</v>
      </c>
      <c r="D105" s="32" t="n">
        <f aca="false">D103*D104</f>
        <v>10.7911104</v>
      </c>
      <c r="E105" s="32" t="n">
        <f aca="false">E103*E104</f>
        <v>27.581185546875</v>
      </c>
      <c r="F105" s="32" t="n">
        <f aca="false">F103*F104</f>
        <v>67.1846</v>
      </c>
      <c r="G105" s="25"/>
    </row>
    <row r="106" customFormat="false" ht="15" hidden="false" customHeight="false" outlineLevel="0" collapsed="false">
      <c r="B106" s="22" t="s">
        <v>185</v>
      </c>
      <c r="C106" s="23" t="s">
        <v>14</v>
      </c>
      <c r="D106" s="24" t="n">
        <v>0</v>
      </c>
      <c r="E106" s="24" t="n">
        <v>0</v>
      </c>
      <c r="F106" s="24" t="n">
        <v>0</v>
      </c>
      <c r="G106" s="25" t="s">
        <v>186</v>
      </c>
      <c r="H106" s="27" t="s">
        <v>55</v>
      </c>
    </row>
    <row r="107" customFormat="false" ht="15" hidden="false" customHeight="false" outlineLevel="0" collapsed="false">
      <c r="B107" s="22" t="s">
        <v>187</v>
      </c>
      <c r="C107" s="23" t="s">
        <v>14</v>
      </c>
      <c r="D107" s="31" t="n">
        <v>1.5</v>
      </c>
      <c r="E107" s="31" t="n">
        <v>1</v>
      </c>
      <c r="F107" s="31" t="n">
        <v>0.7</v>
      </c>
      <c r="G107" s="25" t="s">
        <v>188</v>
      </c>
      <c r="H107" s="26" t="s">
        <v>189</v>
      </c>
    </row>
    <row r="108" customFormat="false" ht="15" hidden="false" customHeight="false" outlineLevel="0" collapsed="false">
      <c r="B108" s="22" t="s">
        <v>190</v>
      </c>
      <c r="C108" s="23" t="s">
        <v>85</v>
      </c>
      <c r="D108" s="32" t="n">
        <f aca="false">IF(D107&gt;0,D106/D107,0)</f>
        <v>0</v>
      </c>
      <c r="E108" s="32" t="n">
        <f aca="false">IF(E107&gt;0,E106/E107,0)</f>
        <v>0</v>
      </c>
      <c r="F108" s="32" t="n">
        <f aca="false">IF(F107&gt;0,F106/F107,0)</f>
        <v>0</v>
      </c>
      <c r="G108" s="25"/>
    </row>
    <row r="109" customFormat="false" ht="15" hidden="false" customHeight="false" outlineLevel="0" collapsed="false">
      <c r="B109" s="34" t="s">
        <v>191</v>
      </c>
      <c r="C109" s="35" t="s">
        <v>85</v>
      </c>
      <c r="D109" s="36" t="n">
        <f aca="false">D102+D105+D108</f>
        <v>27.3726784</v>
      </c>
      <c r="E109" s="36" t="n">
        <f aca="false">E102+E105+E108</f>
        <v>95.862328125</v>
      </c>
      <c r="F109" s="36" t="n">
        <f aca="false">F102+F105+F108</f>
        <v>254.3516</v>
      </c>
      <c r="G109" s="37"/>
      <c r="H109" s="38"/>
    </row>
    <row r="110" customFormat="false" ht="15" hidden="false" customHeight="false" outlineLevel="0" collapsed="false">
      <c r="B110" s="22" t="s">
        <v>192</v>
      </c>
      <c r="C110" s="23" t="s">
        <v>57</v>
      </c>
      <c r="D110" s="28" t="n">
        <v>0.35</v>
      </c>
      <c r="E110" s="28" t="n">
        <v>0.45</v>
      </c>
      <c r="F110" s="28" t="n">
        <v>0.55</v>
      </c>
      <c r="G110" s="25" t="s">
        <v>193</v>
      </c>
      <c r="H110" s="26" t="s">
        <v>83</v>
      </c>
    </row>
    <row r="111" customFormat="false" ht="15" hidden="false" customHeight="false" outlineLevel="0" collapsed="false">
      <c r="B111" s="22" t="s">
        <v>194</v>
      </c>
      <c r="C111" s="23" t="s">
        <v>57</v>
      </c>
      <c r="D111" s="28" t="n">
        <v>0.55</v>
      </c>
      <c r="E111" s="28" t="n">
        <v>0.65</v>
      </c>
      <c r="F111" s="28" t="n">
        <v>0.7</v>
      </c>
      <c r="G111" s="25" t="s">
        <v>195</v>
      </c>
      <c r="H111" s="26" t="s">
        <v>83</v>
      </c>
    </row>
    <row r="112" customFormat="false" ht="15" hidden="false" customHeight="false" outlineLevel="0" collapsed="false">
      <c r="B112" s="34" t="s">
        <v>98</v>
      </c>
      <c r="C112" s="35" t="s">
        <v>85</v>
      </c>
      <c r="D112" s="36" t="n">
        <f aca="false">D109*D110*D111</f>
        <v>5.269240592</v>
      </c>
      <c r="E112" s="36" t="n">
        <f aca="false">E109*E110*E111</f>
        <v>28.0397309765625</v>
      </c>
      <c r="F112" s="36" t="n">
        <f aca="false">F109*F110*F111</f>
        <v>97.925366</v>
      </c>
      <c r="G112" s="37"/>
      <c r="H112" s="38"/>
    </row>
    <row r="113" customFormat="false" ht="15" hidden="false" customHeight="false" outlineLevel="0" collapsed="false">
      <c r="B113" s="22" t="s">
        <v>196</v>
      </c>
      <c r="C113" s="23" t="s">
        <v>57</v>
      </c>
      <c r="D113" s="28" t="n">
        <v>0.02</v>
      </c>
      <c r="E113" s="28" t="n">
        <v>0.03</v>
      </c>
      <c r="F113" s="28" t="n">
        <v>0.04</v>
      </c>
      <c r="G113" s="25"/>
      <c r="H113" s="27" t="s">
        <v>55</v>
      </c>
    </row>
    <row r="114" customFormat="false" ht="15" hidden="false" customHeight="false" outlineLevel="0" collapsed="false">
      <c r="B114" s="22" t="s">
        <v>103</v>
      </c>
      <c r="C114" s="23" t="s">
        <v>37</v>
      </c>
      <c r="D114" s="42" t="n">
        <f aca="false">D112*D113</f>
        <v>0.10538481184</v>
      </c>
      <c r="E114" s="42" t="n">
        <f aca="false">E112*E113</f>
        <v>0.841191929296875</v>
      </c>
      <c r="F114" s="42" t="n">
        <f aca="false">F112*F113</f>
        <v>3.91701464</v>
      </c>
      <c r="G114" s="25"/>
    </row>
    <row r="115" customFormat="false" ht="15" hidden="false" customHeight="false" outlineLevel="0" collapsed="false">
      <c r="B115" s="22" t="s">
        <v>104</v>
      </c>
      <c r="C115" s="23" t="s">
        <v>57</v>
      </c>
      <c r="D115" s="28" t="n">
        <v>0.03</v>
      </c>
      <c r="E115" s="28" t="n">
        <v>0.04</v>
      </c>
      <c r="F115" s="28" t="n">
        <v>0.05</v>
      </c>
      <c r="G115" s="25"/>
      <c r="H115" s="27" t="s">
        <v>55</v>
      </c>
    </row>
    <row r="116" customFormat="false" ht="15" hidden="false" customHeight="false" outlineLevel="0" collapsed="false">
      <c r="B116" s="22" t="s">
        <v>106</v>
      </c>
      <c r="C116" s="23" t="s">
        <v>37</v>
      </c>
      <c r="D116" s="42" t="n">
        <f aca="false">D112*D115</f>
        <v>0.15807721776</v>
      </c>
      <c r="E116" s="42" t="n">
        <f aca="false">E112*E115</f>
        <v>1.1215892390625</v>
      </c>
      <c r="F116" s="42" t="n">
        <f aca="false">F112*F115</f>
        <v>4.8962683</v>
      </c>
      <c r="G116" s="25"/>
    </row>
    <row r="117" customFormat="false" ht="15" hidden="false" customHeight="false" outlineLevel="0" collapsed="false">
      <c r="B117" s="22" t="s">
        <v>107</v>
      </c>
      <c r="C117" s="23" t="s">
        <v>57</v>
      </c>
      <c r="D117" s="28" t="n">
        <v>0.06</v>
      </c>
      <c r="E117" s="28" t="n">
        <v>0.08</v>
      </c>
      <c r="F117" s="28" t="n">
        <v>0.1</v>
      </c>
      <c r="G117" s="25"/>
      <c r="H117" s="27" t="s">
        <v>55</v>
      </c>
    </row>
    <row r="118" customFormat="false" ht="15" hidden="false" customHeight="false" outlineLevel="0" collapsed="false">
      <c r="B118" s="22" t="s">
        <v>109</v>
      </c>
      <c r="C118" s="23" t="s">
        <v>37</v>
      </c>
      <c r="D118" s="42" t="n">
        <f aca="false">D112*D117</f>
        <v>0.31615443552</v>
      </c>
      <c r="E118" s="42" t="n">
        <f aca="false">E112*E117</f>
        <v>2.243178478125</v>
      </c>
      <c r="F118" s="42" t="n">
        <f aca="false">F112*F117</f>
        <v>9.7925366</v>
      </c>
      <c r="G118" s="25"/>
    </row>
    <row r="119" customFormat="false" ht="15" hidden="false" customHeight="false" outlineLevel="0" collapsed="false">
      <c r="B119" s="43" t="s">
        <v>110</v>
      </c>
      <c r="C119" s="44"/>
      <c r="D119" s="45" t="str">
        <f aca="false">IF(D113+D115+D117&gt;1,"ОШИБКА: больше 100%","ок")</f>
        <v>ок</v>
      </c>
      <c r="E119" s="45" t="str">
        <f aca="false">IF(E113+E115+E117&gt;1,"ОШИБКА: больше 100%","ок")</f>
        <v>ок</v>
      </c>
      <c r="F119" s="45" t="str">
        <f aca="false">IF(F113+F115+F117&gt;1,"ОШИБКА: больше 100%","ок")</f>
        <v>ок</v>
      </c>
      <c r="G119" s="46"/>
    </row>
    <row r="120" customFormat="false" ht="15" hidden="false" customHeight="false" outlineLevel="0" collapsed="false">
      <c r="B120" s="22" t="s">
        <v>111</v>
      </c>
      <c r="C120" s="23" t="s">
        <v>85</v>
      </c>
      <c r="D120" s="32" t="n">
        <f aca="false">MAX(0,D112-D114-D116-D118)</f>
        <v>4.68962412688</v>
      </c>
      <c r="E120" s="32" t="n">
        <f aca="false">MAX(0,E112-E114-E116-E118)</f>
        <v>23.8337713300781</v>
      </c>
      <c r="F120" s="32" t="n">
        <f aca="false">MAX(0,F112-F114-F116-F118)</f>
        <v>79.31954646</v>
      </c>
      <c r="G120" s="25"/>
    </row>
    <row r="121" customFormat="false" ht="15" hidden="false" customHeight="false" outlineLevel="0" collapsed="false">
      <c r="B121" s="22" t="s">
        <v>113</v>
      </c>
      <c r="C121" s="23" t="s">
        <v>85</v>
      </c>
      <c r="D121" s="32" t="n">
        <f aca="false">MAX(0,D109-D112)</f>
        <v>22.103437808</v>
      </c>
      <c r="E121" s="32" t="n">
        <f aca="false">MAX(0,E109-E112)</f>
        <v>67.8225971484375</v>
      </c>
      <c r="F121" s="32" t="n">
        <f aca="false">MAX(0,F109-F112)</f>
        <v>156.426234</v>
      </c>
      <c r="G121" s="25"/>
    </row>
    <row r="122" customFormat="false" ht="15" hidden="false" customHeight="false" outlineLevel="0" collapsed="false">
      <c r="B122" s="22" t="s">
        <v>137</v>
      </c>
      <c r="C122" s="23" t="s">
        <v>37</v>
      </c>
      <c r="D122" s="42" t="n">
        <f aca="false">D116*D67</f>
        <v>0.094846330656</v>
      </c>
      <c r="E122" s="42" t="n">
        <f aca="false">E116*E67</f>
        <v>0.78511246734375</v>
      </c>
      <c r="F122" s="42" t="n">
        <f aca="false">F116*F67</f>
        <v>3.91701464</v>
      </c>
      <c r="G122" s="25" t="s">
        <v>197</v>
      </c>
    </row>
    <row r="123" customFormat="false" ht="15" hidden="false" customHeight="false" outlineLevel="0" collapsed="false">
      <c r="B123" s="22" t="s">
        <v>139</v>
      </c>
      <c r="C123" s="23" t="s">
        <v>37</v>
      </c>
      <c r="D123" s="42" t="n">
        <f aca="false">D118*D68</f>
        <v>0.07903860888</v>
      </c>
      <c r="E123" s="42" t="n">
        <f aca="false">E118*E68</f>
        <v>0.78511246734375</v>
      </c>
      <c r="F123" s="42" t="n">
        <f aca="false">F118*F68</f>
        <v>4.40664147</v>
      </c>
      <c r="G123" s="25"/>
    </row>
    <row r="124" customFormat="false" ht="15" hidden="false" customHeight="false" outlineLevel="0" collapsed="false">
      <c r="B124" s="22" t="s">
        <v>141</v>
      </c>
      <c r="C124" s="23" t="s">
        <v>37</v>
      </c>
      <c r="D124" s="32" t="n">
        <f aca="false">(D120*D62+D121*D63)*D61</f>
        <v>2.264131093856</v>
      </c>
      <c r="E124" s="32" t="n">
        <f aca="false">(E120*E62+E121*E63)*E61</f>
        <v>11.3842506043945</v>
      </c>
      <c r="F124" s="32" t="n">
        <f aca="false">(F120*F62+F121*F63)*F61</f>
        <v>39.438487338</v>
      </c>
      <c r="G124" s="25"/>
    </row>
    <row r="125" customFormat="false" ht="15" hidden="false" customHeight="false" outlineLevel="0" collapsed="false">
      <c r="B125" s="22" t="s">
        <v>143</v>
      </c>
      <c r="C125" s="23" t="s">
        <v>37</v>
      </c>
      <c r="D125" s="42" t="n">
        <f aca="false">D124*D64</f>
        <v>0.02264131093856</v>
      </c>
      <c r="E125" s="42" t="n">
        <f aca="false">E124*E64</f>
        <v>0.170763759065918</v>
      </c>
      <c r="F125" s="42" t="n">
        <f aca="false">F124*F64</f>
        <v>0.78876974676</v>
      </c>
      <c r="G125" s="25"/>
    </row>
    <row r="126" customFormat="false" ht="15" hidden="false" customHeight="false" outlineLevel="0" collapsed="false">
      <c r="B126" s="22" t="s">
        <v>144</v>
      </c>
      <c r="C126" s="23" t="s">
        <v>37</v>
      </c>
      <c r="D126" s="42" t="n">
        <f aca="false">D124*D65</f>
        <v>0.13584786563136</v>
      </c>
      <c r="E126" s="42" t="n">
        <f aca="false">E124*E65</f>
        <v>0.910740048351562</v>
      </c>
      <c r="F126" s="42" t="n">
        <f aca="false">F124*F65</f>
        <v>3.9438487338</v>
      </c>
      <c r="G126" s="25"/>
    </row>
    <row r="127" customFormat="false" ht="15" hidden="false" customHeight="false" outlineLevel="0" collapsed="false">
      <c r="B127" s="22" t="s">
        <v>145</v>
      </c>
      <c r="C127" s="23" t="s">
        <v>37</v>
      </c>
      <c r="D127" s="42" t="n">
        <f aca="false">D126*D69</f>
        <v>0.027169573126272</v>
      </c>
      <c r="E127" s="42" t="n">
        <f aca="false">E126*E69</f>
        <v>0.227685012087891</v>
      </c>
      <c r="F127" s="42" t="n">
        <f aca="false">F126*F69</f>
        <v>1.18315462014</v>
      </c>
      <c r="G127" s="25"/>
    </row>
    <row r="128" customFormat="false" ht="15" hidden="false" customHeight="false" outlineLevel="0" collapsed="false">
      <c r="B128" s="47" t="s">
        <v>198</v>
      </c>
      <c r="C128" s="48" t="s">
        <v>37</v>
      </c>
      <c r="D128" s="49" t="n">
        <f aca="false">D114+D122+D123+D125+D127</f>
        <v>0.329080635440832</v>
      </c>
      <c r="E128" s="49" t="n">
        <f aca="false">E114+E122+E123+E125+E127</f>
        <v>2.80986563513818</v>
      </c>
      <c r="F128" s="49" t="n">
        <f aca="false">F114+F122+F123+F125+F127</f>
        <v>14.2125951169</v>
      </c>
      <c r="G128" s="50"/>
      <c r="H128" s="51"/>
    </row>
    <row r="129" customFormat="false" ht="15" hidden="false" customHeight="false" outlineLevel="0" collapsed="false">
      <c r="B129" s="22" t="s">
        <v>147</v>
      </c>
      <c r="C129" s="23" t="s">
        <v>37</v>
      </c>
      <c r="D129" s="42" t="n">
        <f aca="false">D128*D29</f>
        <v>0</v>
      </c>
      <c r="E129" s="42" t="n">
        <f aca="false">E128*E29</f>
        <v>0</v>
      </c>
      <c r="F129" s="42" t="n">
        <f aca="false">F128*F29</f>
        <v>0</v>
      </c>
      <c r="G129" s="25"/>
    </row>
    <row r="130" customFormat="false" ht="15" hidden="false" customHeight="false" outlineLevel="0" collapsed="false">
      <c r="B130" s="47" t="s">
        <v>199</v>
      </c>
      <c r="C130" s="48" t="s">
        <v>14</v>
      </c>
      <c r="D130" s="52" t="n">
        <f aca="false">D128*D28+D129*D30</f>
        <v>98.7241906322496</v>
      </c>
      <c r="E130" s="52" t="n">
        <f aca="false">E128*E28+E129*E30</f>
        <v>842.959690541455</v>
      </c>
      <c r="F130" s="52" t="n">
        <f aca="false">F128*F28+F129*F30</f>
        <v>4263.77853507</v>
      </c>
      <c r="G130" s="50"/>
      <c r="H130" s="51"/>
    </row>
    <row r="131" customFormat="false" ht="15" hidden="false" customHeight="false" outlineLevel="0" collapsed="false">
      <c r="B131" s="22" t="s">
        <v>150</v>
      </c>
      <c r="C131" s="23" t="s">
        <v>14</v>
      </c>
      <c r="D131" s="53" t="n">
        <f aca="false">(D122+D123+D127)*D28+D129*D30</f>
        <v>60.3163537986816</v>
      </c>
      <c r="E131" s="53" t="n">
        <f aca="false">(E122+E123+E127)*E28+E129*E30</f>
        <v>539.372984032617</v>
      </c>
      <c r="F131" s="53" t="n">
        <f aca="false">(F122+F123+F127)*F28+F129*F30</f>
        <v>2852.043219042</v>
      </c>
      <c r="G131" s="25"/>
    </row>
    <row r="132" customFormat="false" ht="15" hidden="false" customHeight="false" outlineLevel="0" collapsed="false">
      <c r="B132" s="22" t="s">
        <v>152</v>
      </c>
      <c r="C132" s="23" t="s">
        <v>14</v>
      </c>
      <c r="D132" s="53" t="n">
        <f aca="false">(D125+D127)*D28</f>
        <v>14.9432652194496</v>
      </c>
      <c r="E132" s="53" t="n">
        <f aca="false">(E125+E127)*E28</f>
        <v>119.534631346143</v>
      </c>
      <c r="F132" s="53" t="n">
        <f aca="false">(F125+F127)*F28</f>
        <v>591.57731007</v>
      </c>
      <c r="G132" s="25"/>
    </row>
    <row r="133" customFormat="false" ht="15" hidden="false" customHeight="false" outlineLevel="0" collapsed="false">
      <c r="B133" s="22" t="s">
        <v>153</v>
      </c>
      <c r="C133" s="23" t="s">
        <v>57</v>
      </c>
      <c r="D133" s="54" t="n">
        <f aca="false">IF(D109&gt;0,D128/D109,0)</f>
        <v>0.01202223</v>
      </c>
      <c r="E133" s="54" t="n">
        <f aca="false">IF(E109&gt;0,E128/E109,0)</f>
        <v>0.02931146875</v>
      </c>
      <c r="F133" s="54" t="n">
        <f aca="false">IF(F109&gt;0,F128/F109,0)</f>
        <v>0.05587775</v>
      </c>
      <c r="G133" s="25"/>
    </row>
    <row r="135" customFormat="false" ht="19.5" hidden="false" customHeight="true" outlineLevel="0" collapsed="false">
      <c r="B135" s="8" t="s">
        <v>200</v>
      </c>
      <c r="C135" s="8"/>
      <c r="D135" s="8"/>
      <c r="E135" s="8"/>
      <c r="F135" s="8"/>
      <c r="G135" s="8"/>
      <c r="H135" s="8"/>
    </row>
    <row r="136" customFormat="false" ht="15" hidden="false" customHeight="false" outlineLevel="0" collapsed="false">
      <c r="B136" s="22" t="s">
        <v>201</v>
      </c>
      <c r="C136" s="23" t="s">
        <v>57</v>
      </c>
      <c r="D136" s="28" t="n">
        <v>0.45</v>
      </c>
      <c r="E136" s="28" t="n">
        <v>0.55</v>
      </c>
      <c r="F136" s="28" t="n">
        <v>0.65</v>
      </c>
      <c r="G136" s="25" t="s">
        <v>202</v>
      </c>
      <c r="H136" s="27" t="s">
        <v>55</v>
      </c>
    </row>
    <row r="137" customFormat="false" ht="15" hidden="false" customHeight="false" outlineLevel="0" collapsed="false">
      <c r="B137" s="22" t="s">
        <v>203</v>
      </c>
      <c r="C137" s="23" t="s">
        <v>57</v>
      </c>
      <c r="D137" s="28" t="n">
        <v>0.35</v>
      </c>
      <c r="E137" s="28" t="n">
        <v>0.3</v>
      </c>
      <c r="F137" s="28" t="n">
        <v>0.25</v>
      </c>
      <c r="G137" s="25" t="s">
        <v>204</v>
      </c>
      <c r="H137" s="26" t="s">
        <v>52</v>
      </c>
    </row>
    <row r="138" customFormat="false" ht="15" hidden="false" customHeight="false" outlineLevel="0" collapsed="false">
      <c r="B138" s="22" t="s">
        <v>205</v>
      </c>
      <c r="C138" s="23" t="s">
        <v>57</v>
      </c>
      <c r="D138" s="54" t="n">
        <f aca="false">MAX(0,1-D136-D137)</f>
        <v>0.2</v>
      </c>
      <c r="E138" s="54" t="n">
        <f aca="false">MAX(0,1-E136-E137)</f>
        <v>0.15</v>
      </c>
      <c r="F138" s="54" t="n">
        <f aca="false">MAX(0,1-F136-F137)</f>
        <v>0.1</v>
      </c>
      <c r="G138" s="25" t="s">
        <v>206</v>
      </c>
    </row>
    <row r="139" customFormat="false" ht="15" hidden="false" customHeight="false" outlineLevel="0" collapsed="false">
      <c r="B139" s="43" t="s">
        <v>207</v>
      </c>
      <c r="C139" s="44"/>
      <c r="D139" s="45" t="str">
        <f aca="false">IF(D136+D137&gt;1,"ОШИБКА: больше 100%","ок")</f>
        <v>ок</v>
      </c>
      <c r="E139" s="45" t="str">
        <f aca="false">IF(E136+E137&gt;1,"ОШИБКА: больше 100%","ок")</f>
        <v>ок</v>
      </c>
      <c r="F139" s="45" t="str">
        <f aca="false">IF(F136+F137&gt;1,"ОШИБКА: больше 100%","ок")</f>
        <v>ок</v>
      </c>
      <c r="G139" s="46"/>
    </row>
    <row r="140" customFormat="false" ht="15" hidden="false" customHeight="false" outlineLevel="0" collapsed="false">
      <c r="B140" s="22" t="s">
        <v>208</v>
      </c>
      <c r="C140" s="23" t="s">
        <v>57</v>
      </c>
      <c r="D140" s="28" t="n">
        <v>0.02</v>
      </c>
      <c r="E140" s="28" t="n">
        <v>0.015</v>
      </c>
      <c r="F140" s="28" t="n">
        <v>0.01</v>
      </c>
      <c r="G140" s="25" t="s">
        <v>209</v>
      </c>
      <c r="H140" s="26" t="s">
        <v>210</v>
      </c>
    </row>
    <row r="141" customFormat="false" ht="15" hidden="false" customHeight="false" outlineLevel="0" collapsed="false">
      <c r="B141" s="22" t="s">
        <v>211</v>
      </c>
      <c r="C141" s="23" t="s">
        <v>57</v>
      </c>
      <c r="D141" s="28" t="n">
        <v>0.15</v>
      </c>
      <c r="E141" s="28" t="n">
        <v>0.1</v>
      </c>
      <c r="F141" s="28" t="n">
        <v>0.06</v>
      </c>
      <c r="G141" s="25" t="s">
        <v>212</v>
      </c>
      <c r="H141" s="26" t="s">
        <v>52</v>
      </c>
    </row>
    <row r="142" customFormat="false" ht="15" hidden="false" customHeight="false" outlineLevel="0" collapsed="false">
      <c r="B142" s="22" t="s">
        <v>213</v>
      </c>
      <c r="C142" s="23" t="s">
        <v>172</v>
      </c>
      <c r="D142" s="57" t="n">
        <v>4</v>
      </c>
      <c r="E142" s="57" t="n">
        <v>3</v>
      </c>
      <c r="F142" s="57" t="n">
        <v>3</v>
      </c>
      <c r="G142" s="25" t="s">
        <v>214</v>
      </c>
      <c r="H142" s="27" t="s">
        <v>55</v>
      </c>
    </row>
    <row r="143" customFormat="false" ht="15" hidden="false" customHeight="false" outlineLevel="0" collapsed="false">
      <c r="B143" s="22" t="s">
        <v>215</v>
      </c>
      <c r="C143" s="23" t="s">
        <v>172</v>
      </c>
      <c r="D143" s="58" t="n">
        <f aca="false">MAX(1,MIN(12,ROUND(D142,0)))</f>
        <v>4</v>
      </c>
      <c r="E143" s="58" t="n">
        <f aca="false">MAX(1,MIN(12,ROUND(E142,0)))</f>
        <v>3</v>
      </c>
      <c r="F143" s="58" t="n">
        <f aca="false">MAX(1,MIN(12,ROUND(F142,0)))</f>
        <v>3</v>
      </c>
      <c r="G143" s="25" t="s">
        <v>216</v>
      </c>
    </row>
    <row r="144" customFormat="false" ht="15" hidden="false" customHeight="false" outlineLevel="0" collapsed="false">
      <c r="B144" s="22" t="s">
        <v>217</v>
      </c>
      <c r="C144" s="23" t="s">
        <v>57</v>
      </c>
      <c r="D144" s="28" t="n">
        <v>0.3</v>
      </c>
      <c r="E144" s="28" t="n">
        <v>0.4</v>
      </c>
      <c r="F144" s="28" t="n">
        <v>0.5</v>
      </c>
      <c r="G144" s="25" t="s">
        <v>218</v>
      </c>
      <c r="H144" s="26" t="s">
        <v>219</v>
      </c>
    </row>
    <row r="145" customFormat="false" ht="15" hidden="false" customHeight="false" outlineLevel="0" collapsed="false">
      <c r="B145" s="22" t="s">
        <v>220</v>
      </c>
      <c r="C145" s="23" t="s">
        <v>57</v>
      </c>
      <c r="D145" s="54" t="n">
        <f aca="false">IF(D143=1,1,D144)</f>
        <v>0.3</v>
      </c>
      <c r="E145" s="54" t="n">
        <f aca="false">IF(E143=1,1,E144)</f>
        <v>0.4</v>
      </c>
      <c r="F145" s="54" t="n">
        <f aca="false">IF(F143=1,1,F144)</f>
        <v>0.5</v>
      </c>
      <c r="G145" s="25" t="s">
        <v>221</v>
      </c>
    </row>
    <row r="146" customFormat="false" ht="15" hidden="false" customHeight="false" outlineLevel="0" collapsed="false">
      <c r="B146" s="22" t="s">
        <v>222</v>
      </c>
      <c r="C146" s="23" t="s">
        <v>57</v>
      </c>
      <c r="D146" s="28" t="n">
        <v>0.25</v>
      </c>
      <c r="E146" s="28" t="n">
        <v>0.15</v>
      </c>
      <c r="F146" s="28" t="n">
        <v>0.1</v>
      </c>
      <c r="G146" s="25" t="s">
        <v>223</v>
      </c>
      <c r="H146" s="26" t="s">
        <v>219</v>
      </c>
    </row>
    <row r="147" customFormat="false" ht="15" hidden="false" customHeight="false" outlineLevel="0" collapsed="false">
      <c r="B147" s="22" t="s">
        <v>224</v>
      </c>
      <c r="C147" s="23" t="s">
        <v>57</v>
      </c>
      <c r="D147" s="28" t="n">
        <v>0.08</v>
      </c>
      <c r="E147" s="28" t="n">
        <v>0.05</v>
      </c>
      <c r="F147" s="28" t="n">
        <v>0.03</v>
      </c>
      <c r="G147" s="25" t="s">
        <v>225</v>
      </c>
      <c r="H147" s="26" t="s">
        <v>52</v>
      </c>
    </row>
    <row r="148" customFormat="false" ht="15" hidden="false" customHeight="false" outlineLevel="0" collapsed="false">
      <c r="B148" s="59" t="s">
        <v>226</v>
      </c>
      <c r="C148" s="59"/>
      <c r="D148" s="59"/>
      <c r="E148" s="59"/>
      <c r="F148" s="59"/>
      <c r="G148" s="59"/>
      <c r="H148" s="59"/>
    </row>
    <row r="149" customFormat="false" ht="15" hidden="false" customHeight="false" outlineLevel="0" collapsed="false">
      <c r="B149" s="22" t="s">
        <v>227</v>
      </c>
      <c r="C149" s="23" t="s">
        <v>14</v>
      </c>
      <c r="D149" s="53" t="n">
        <f aca="false">D81*(D136*(1-D140)+D137*(1-D141)+D138*D145*(1-D140))</f>
        <v>1250.676672</v>
      </c>
      <c r="E149" s="53" t="n">
        <f aca="false">E81*(E136*(1-E140)+E137*(1-E141)+E138*E145*(1-E140))</f>
        <v>6314.41088671875</v>
      </c>
      <c r="F149" s="53" t="n">
        <f aca="false">F81*(F136*(1-F140)+F137*(1-F141)+F138*F145*(1-F140))</f>
        <v>27993.12</v>
      </c>
      <c r="G149" s="25" t="s">
        <v>228</v>
      </c>
    </row>
    <row r="150" customFormat="false" ht="15" hidden="false" customHeight="false" outlineLevel="0" collapsed="false">
      <c r="B150" s="22" t="s">
        <v>229</v>
      </c>
      <c r="C150" s="23" t="s">
        <v>14</v>
      </c>
      <c r="D150" s="53" t="n">
        <f aca="false">D81*D138*(1-D145)*(1-D146)*(1-D140)</f>
        <v>161.413056</v>
      </c>
      <c r="E150" s="53" t="n">
        <f aca="false">E81*E138*(1-E145)*(1-E146)*(1-E140)</f>
        <v>546.370381054687</v>
      </c>
      <c r="F150" s="53" t="n">
        <f aca="false">F81*F138*(1-F145)*(1-F146)*(1-F140)</f>
        <v>1343.85075</v>
      </c>
      <c r="G150" s="25" t="s">
        <v>230</v>
      </c>
    </row>
    <row r="151" customFormat="false" ht="15" hidden="false" customHeight="false" outlineLevel="0" collapsed="false">
      <c r="B151" s="22" t="s">
        <v>231</v>
      </c>
      <c r="C151" s="23" t="s">
        <v>14</v>
      </c>
      <c r="D151" s="53" t="n">
        <f aca="false">IF(D143&gt;1,D150/(D143-1),0)</f>
        <v>53.804352</v>
      </c>
      <c r="E151" s="53" t="n">
        <f aca="false">IF(E143&gt;1,E150/(E143-1),0)</f>
        <v>273.185190527344</v>
      </c>
      <c r="F151" s="53" t="n">
        <f aca="false">IF(F143&gt;1,F150/(F143-1),0)</f>
        <v>671.925375</v>
      </c>
      <c r="G151" s="25" t="s">
        <v>232</v>
      </c>
    </row>
    <row r="152" customFormat="false" ht="15" hidden="false" customHeight="false" outlineLevel="0" collapsed="false">
      <c r="B152" s="22" t="s">
        <v>233</v>
      </c>
      <c r="C152" s="23" t="s">
        <v>14</v>
      </c>
      <c r="D152" s="53" t="n">
        <f aca="false">D81*D147</f>
        <v>125.4912</v>
      </c>
      <c r="E152" s="53" t="n">
        <f aca="false">E81*E147</f>
        <v>362.54296875</v>
      </c>
      <c r="F152" s="53" t="n">
        <f aca="false">F81*F147</f>
        <v>904.95</v>
      </c>
      <c r="G152" s="25"/>
    </row>
    <row r="153" customFormat="false" ht="15" hidden="false" customHeight="false" outlineLevel="0" collapsed="false">
      <c r="B153" s="34" t="s">
        <v>234</v>
      </c>
      <c r="C153" s="35" t="s">
        <v>14</v>
      </c>
      <c r="D153" s="60" t="n">
        <f aca="false">D149+D150-D152</f>
        <v>1286.598528</v>
      </c>
      <c r="E153" s="60" t="n">
        <f aca="false">E149+E150-E152</f>
        <v>6498.23829902344</v>
      </c>
      <c r="F153" s="60" t="n">
        <f aca="false">F149+F150-F152</f>
        <v>28432.02075</v>
      </c>
      <c r="G153" s="37"/>
      <c r="H153" s="38"/>
    </row>
    <row r="154" customFormat="false" ht="15" hidden="false" customHeight="false" outlineLevel="0" collapsed="false">
      <c r="B154" s="59" t="s">
        <v>235</v>
      </c>
      <c r="C154" s="59"/>
      <c r="D154" s="59"/>
      <c r="E154" s="59"/>
      <c r="F154" s="59"/>
      <c r="G154" s="59"/>
      <c r="H154" s="59"/>
    </row>
    <row r="155" customFormat="false" ht="15" hidden="false" customHeight="false" outlineLevel="0" collapsed="false">
      <c r="B155" s="22" t="s">
        <v>227</v>
      </c>
      <c r="C155" s="23" t="s">
        <v>14</v>
      </c>
      <c r="D155" s="53" t="n">
        <f aca="false">D130*(D136*(1-D140)+D137*(1-D141)+D138*D145*(1-D140))</f>
        <v>78.7127971910926</v>
      </c>
      <c r="E155" s="53" t="n">
        <f aca="false">E130*(E136*(1-E140)+E137*(1-E141)+E138*E145*(1-E140))</f>
        <v>734.091446508026</v>
      </c>
      <c r="F155" s="53" t="n">
        <f aca="false">F130*(F136*(1-F140)+F137*(1-F141)+F138*F145*(1-F140))</f>
        <v>3956.78648054496</v>
      </c>
      <c r="G155" s="25"/>
    </row>
    <row r="156" customFormat="false" ht="15" hidden="false" customHeight="false" outlineLevel="0" collapsed="false">
      <c r="B156" s="22" t="s">
        <v>229</v>
      </c>
      <c r="C156" s="23" t="s">
        <v>14</v>
      </c>
      <c r="D156" s="53" t="n">
        <f aca="false">D130*D138*(1-D145)*(1-D146)*(1-D140)</f>
        <v>10.1587192160585</v>
      </c>
      <c r="E156" s="53" t="n">
        <f aca="false">E130*E138*(1-E145)*(1-E146)*(1-E140)</f>
        <v>63.519120081525</v>
      </c>
      <c r="F156" s="53" t="n">
        <f aca="false">F130*F138*(1-F145)*(1-F146)*(1-F140)</f>
        <v>189.951333737368</v>
      </c>
      <c r="G156" s="25"/>
    </row>
    <row r="157" customFormat="false" ht="15" hidden="false" customHeight="false" outlineLevel="0" collapsed="false">
      <c r="B157" s="22" t="s">
        <v>231</v>
      </c>
      <c r="C157" s="23" t="s">
        <v>14</v>
      </c>
      <c r="D157" s="53" t="n">
        <f aca="false">IF(D143&gt;1,D156/(D143-1),0)</f>
        <v>3.38623973868616</v>
      </c>
      <c r="E157" s="53" t="n">
        <f aca="false">IF(E143&gt;1,E156/(E143-1),0)</f>
        <v>31.7595600407625</v>
      </c>
      <c r="F157" s="53" t="n">
        <f aca="false">IF(F143&gt;1,F156/(F143-1),0)</f>
        <v>94.9756668686842</v>
      </c>
      <c r="G157" s="25"/>
    </row>
    <row r="158" customFormat="false" ht="15" hidden="false" customHeight="false" outlineLevel="0" collapsed="false">
      <c r="B158" s="22" t="s">
        <v>233</v>
      </c>
      <c r="C158" s="23" t="s">
        <v>14</v>
      </c>
      <c r="D158" s="53" t="n">
        <f aca="false">D130*D147</f>
        <v>7.89793525057997</v>
      </c>
      <c r="E158" s="53" t="n">
        <f aca="false">E130*E147</f>
        <v>42.1479845270728</v>
      </c>
      <c r="F158" s="53" t="n">
        <f aca="false">F130*F147</f>
        <v>127.9133560521</v>
      </c>
      <c r="G158" s="25"/>
    </row>
    <row r="159" customFormat="false" ht="15" hidden="false" customHeight="false" outlineLevel="0" collapsed="false">
      <c r="B159" s="34" t="s">
        <v>236</v>
      </c>
      <c r="C159" s="35" t="s">
        <v>14</v>
      </c>
      <c r="D159" s="60" t="n">
        <f aca="false">D155+D156-D158</f>
        <v>80.9735811565711</v>
      </c>
      <c r="E159" s="60" t="n">
        <f aca="false">E155+E156-E158</f>
        <v>755.462582062479</v>
      </c>
      <c r="F159" s="60" t="n">
        <f aca="false">F155+F156-F158</f>
        <v>4018.82445823023</v>
      </c>
      <c r="G159" s="37"/>
      <c r="H159" s="38"/>
    </row>
    <row r="160" customFormat="false" ht="15" hidden="false" customHeight="false" outlineLevel="0" collapsed="false">
      <c r="B160" s="59" t="s">
        <v>237</v>
      </c>
      <c r="C160" s="59"/>
      <c r="D160" s="59"/>
      <c r="E160" s="59"/>
      <c r="F160" s="59"/>
      <c r="G160" s="59"/>
      <c r="H160" s="59"/>
    </row>
    <row r="161" customFormat="false" ht="15" hidden="false" customHeight="false" outlineLevel="0" collapsed="false">
      <c r="B161" s="47" t="s">
        <v>238</v>
      </c>
      <c r="C161" s="48" t="s">
        <v>14</v>
      </c>
      <c r="D161" s="52" t="n">
        <f aca="false">D81+D130</f>
        <v>1667.36419063225</v>
      </c>
      <c r="E161" s="52" t="n">
        <f aca="false">E81+E130</f>
        <v>8093.81906554146</v>
      </c>
      <c r="F161" s="52" t="n">
        <f aca="false">F81+F130</f>
        <v>34428.77853507</v>
      </c>
      <c r="G161" s="50"/>
      <c r="H161" s="51"/>
    </row>
    <row r="162" customFormat="false" ht="15" hidden="false" customHeight="false" outlineLevel="0" collapsed="false">
      <c r="B162" s="22" t="s">
        <v>239</v>
      </c>
      <c r="C162" s="23" t="s">
        <v>14</v>
      </c>
      <c r="D162" s="53" t="n">
        <f aca="false">D161*(D136+D138*D145+D138*(1-D145)*(1-D146))*D140</f>
        <v>20.5085795447767</v>
      </c>
      <c r="E162" s="53" t="n">
        <f aca="false">E161*(E136+E138*E145+E138*(1-E145)*(1-E146))*E140</f>
        <v>83.3461018274131</v>
      </c>
      <c r="F162" s="53" t="n">
        <f aca="false">F161*(F136+F138*F145+F138*(1-F145)*(1-F146))*F140</f>
        <v>256.494400086271</v>
      </c>
      <c r="G162" s="25"/>
    </row>
    <row r="163" customFormat="false" ht="15" hidden="false" customHeight="false" outlineLevel="0" collapsed="false">
      <c r="B163" s="22" t="s">
        <v>240</v>
      </c>
      <c r="C163" s="23" t="s">
        <v>14</v>
      </c>
      <c r="D163" s="53" t="n">
        <f aca="false">D161*D137*D141</f>
        <v>87.5366200081931</v>
      </c>
      <c r="E163" s="53" t="n">
        <f aca="false">E161*E137*E141</f>
        <v>242.814571966244</v>
      </c>
      <c r="F163" s="53" t="n">
        <f aca="false">F161*F137*F141</f>
        <v>516.43167802605</v>
      </c>
      <c r="G163" s="25"/>
    </row>
    <row r="164" customFormat="false" ht="15" hidden="false" customHeight="false" outlineLevel="0" collapsed="false">
      <c r="B164" s="22" t="s">
        <v>241</v>
      </c>
      <c r="C164" s="23" t="s">
        <v>14</v>
      </c>
      <c r="D164" s="53" t="n">
        <f aca="false">D161*D138*(1-D145)*D146</f>
        <v>58.3577466721288</v>
      </c>
      <c r="E164" s="53" t="n">
        <f aca="false">E161*E138*(1-E145)*E146</f>
        <v>109.26655738481</v>
      </c>
      <c r="F164" s="53" t="n">
        <f aca="false">F161*F138*(1-F145)*F146</f>
        <v>172.14389267535</v>
      </c>
      <c r="G164" s="25"/>
    </row>
    <row r="165" customFormat="false" ht="15" hidden="false" customHeight="false" outlineLevel="0" collapsed="false">
      <c r="B165" s="22" t="s">
        <v>242</v>
      </c>
      <c r="C165" s="23" t="s">
        <v>14</v>
      </c>
      <c r="D165" s="53" t="n">
        <f aca="false">D152+D158</f>
        <v>133.38913525058</v>
      </c>
      <c r="E165" s="53" t="n">
        <f aca="false">E152+E158</f>
        <v>404.690953277073</v>
      </c>
      <c r="F165" s="53" t="n">
        <f aca="false">F152+F158</f>
        <v>1032.8633560521</v>
      </c>
      <c r="G165" s="25"/>
    </row>
    <row r="166" customFormat="false" ht="15" hidden="false" customHeight="false" outlineLevel="0" collapsed="false">
      <c r="B166" s="34" t="s">
        <v>243</v>
      </c>
      <c r="C166" s="35" t="s">
        <v>14</v>
      </c>
      <c r="D166" s="60" t="n">
        <f aca="false">D162+D163+D164+D165</f>
        <v>299.792081475679</v>
      </c>
      <c r="E166" s="60" t="n">
        <f aca="false">E162+E163+E164+E165</f>
        <v>840.118184455539</v>
      </c>
      <c r="F166" s="60" t="n">
        <f aca="false">F162+F163+F164+F165</f>
        <v>1977.93332683977</v>
      </c>
      <c r="G166" s="37"/>
      <c r="H166" s="38"/>
    </row>
    <row r="167" customFormat="false" ht="15" hidden="false" customHeight="false" outlineLevel="0" collapsed="false">
      <c r="B167" s="22" t="s">
        <v>244</v>
      </c>
      <c r="C167" s="23" t="s">
        <v>57</v>
      </c>
      <c r="D167" s="54" t="n">
        <f aca="false">IF(D161&gt;0,D166/D161,0)</f>
        <v>0.1798</v>
      </c>
      <c r="E167" s="54" t="n">
        <f aca="false">IF(E161&gt;0,E166/E161,0)</f>
        <v>0.1037975</v>
      </c>
      <c r="F167" s="54" t="n">
        <f aca="false">IF(F161&gt;0,F166/F161,0)</f>
        <v>0.05745</v>
      </c>
      <c r="G167" s="25"/>
    </row>
    <row r="168" customFormat="false" ht="15" hidden="false" customHeight="false" outlineLevel="0" collapsed="false">
      <c r="B168" s="47" t="s">
        <v>18</v>
      </c>
      <c r="C168" s="48" t="s">
        <v>14</v>
      </c>
      <c r="D168" s="52" t="n">
        <f aca="false">D153+D159</f>
        <v>1367.57210915657</v>
      </c>
      <c r="E168" s="52" t="n">
        <f aca="false">E153+E159</f>
        <v>7253.70088108592</v>
      </c>
      <c r="F168" s="52" t="n">
        <f aca="false">F153+F159</f>
        <v>32450.8452082302</v>
      </c>
      <c r="G168" s="50"/>
      <c r="H168" s="51"/>
    </row>
    <row r="169" customFormat="false" ht="15" hidden="false" customHeight="false" outlineLevel="0" collapsed="false">
      <c r="B169" s="22" t="s">
        <v>245</v>
      </c>
      <c r="C169" s="23" t="s">
        <v>14</v>
      </c>
      <c r="D169" s="53" t="n">
        <f aca="false">D149-D152+D155-D158</f>
        <v>1196.00033394051</v>
      </c>
      <c r="E169" s="53" t="n">
        <f aca="false">E149-E152+E155-E158</f>
        <v>6643.81137994971</v>
      </c>
      <c r="F169" s="53" t="n">
        <f aca="false">F149-F152+F155-F158</f>
        <v>30917.0431244929</v>
      </c>
      <c r="G169" s="25"/>
    </row>
    <row r="170" customFormat="false" ht="15" hidden="false" customHeight="false" outlineLevel="0" collapsed="false">
      <c r="B170" s="22" t="s">
        <v>246</v>
      </c>
      <c r="C170" s="23" t="s">
        <v>14</v>
      </c>
      <c r="D170" s="53" t="n">
        <f aca="false">D150+D156</f>
        <v>171.571775216059</v>
      </c>
      <c r="E170" s="53" t="n">
        <f aca="false">E150+E156</f>
        <v>609.889501136212</v>
      </c>
      <c r="F170" s="53" t="n">
        <f aca="false">F150+F156</f>
        <v>1533.80208373737</v>
      </c>
      <c r="G170" s="25"/>
    </row>
    <row r="171" customFormat="false" ht="15" hidden="false" customHeight="false" outlineLevel="0" collapsed="false">
      <c r="B171" s="43" t="s">
        <v>247</v>
      </c>
      <c r="C171" s="44"/>
      <c r="D171" s="45" t="str">
        <f aca="false">IF(ABS(D161-D166-D168)&lt;0.01,"ок","ОШИБКА")</f>
        <v>ок</v>
      </c>
      <c r="E171" s="45" t="str">
        <f aca="false">IF(ABS(E161-E166-E168)&lt;0.01,"ок","ОШИБКА")</f>
        <v>ок</v>
      </c>
      <c r="F171" s="45" t="str">
        <f aca="false">IF(ABS(F161-F166-F168)&lt;0.01,"ок","ОШИБКА")</f>
        <v>ок</v>
      </c>
      <c r="G171" s="46"/>
    </row>
    <row r="173" customFormat="false" ht="19.5" hidden="false" customHeight="true" outlineLevel="0" collapsed="false">
      <c r="B173" s="8" t="s">
        <v>248</v>
      </c>
      <c r="C173" s="8"/>
      <c r="D173" s="8"/>
      <c r="E173" s="8"/>
      <c r="F173" s="8"/>
      <c r="G173" s="8"/>
      <c r="H173" s="8"/>
    </row>
    <row r="174" customFormat="false" ht="15" hidden="false" customHeight="false" outlineLevel="0" collapsed="false">
      <c r="B174" s="22" t="s">
        <v>249</v>
      </c>
      <c r="C174" s="23" t="s">
        <v>14</v>
      </c>
      <c r="D174" s="24" t="n">
        <v>1300</v>
      </c>
      <c r="E174" s="24" t="n">
        <v>1300</v>
      </c>
      <c r="F174" s="24" t="n">
        <v>1300</v>
      </c>
      <c r="G174" s="25" t="s">
        <v>250</v>
      </c>
      <c r="H174" s="26" t="s">
        <v>251</v>
      </c>
    </row>
    <row r="175" customFormat="false" ht="15" hidden="false" customHeight="false" outlineLevel="0" collapsed="false">
      <c r="B175" s="22" t="s">
        <v>252</v>
      </c>
      <c r="C175" s="23" t="s">
        <v>14</v>
      </c>
      <c r="D175" s="24" t="n">
        <v>0</v>
      </c>
      <c r="E175" s="24" t="n">
        <v>0</v>
      </c>
      <c r="F175" s="24" t="n">
        <v>0</v>
      </c>
      <c r="G175" s="25" t="s">
        <v>253</v>
      </c>
      <c r="H175" s="26" t="s">
        <v>254</v>
      </c>
    </row>
    <row r="176" customFormat="false" ht="15" hidden="false" customHeight="false" outlineLevel="0" collapsed="false">
      <c r="B176" s="22" t="s">
        <v>255</v>
      </c>
      <c r="C176" s="23" t="s">
        <v>14</v>
      </c>
      <c r="D176" s="24" t="n">
        <v>130</v>
      </c>
      <c r="E176" s="24" t="n">
        <v>130</v>
      </c>
      <c r="F176" s="24" t="n">
        <v>130</v>
      </c>
      <c r="G176" s="25" t="s">
        <v>256</v>
      </c>
      <c r="H176" s="26" t="s">
        <v>251</v>
      </c>
    </row>
    <row r="177" customFormat="false" ht="15" hidden="false" customHeight="false" outlineLevel="0" collapsed="false">
      <c r="B177" s="22" t="s">
        <v>257</v>
      </c>
      <c r="C177" s="23" t="s">
        <v>14</v>
      </c>
      <c r="D177" s="31" t="n">
        <v>0.05</v>
      </c>
      <c r="E177" s="31" t="n">
        <v>0.05</v>
      </c>
      <c r="F177" s="31" t="n">
        <v>0.05</v>
      </c>
      <c r="G177" s="25" t="s">
        <v>258</v>
      </c>
      <c r="H177" s="26" t="s">
        <v>259</v>
      </c>
    </row>
    <row r="178" customFormat="false" ht="15" hidden="false" customHeight="false" outlineLevel="0" collapsed="false">
      <c r="B178" s="22" t="s">
        <v>260</v>
      </c>
      <c r="C178" s="23" t="s">
        <v>14</v>
      </c>
      <c r="D178" s="24" t="n">
        <v>300</v>
      </c>
      <c r="E178" s="24" t="n">
        <v>300</v>
      </c>
      <c r="F178" s="24" t="n">
        <v>300</v>
      </c>
      <c r="G178" s="25" t="s">
        <v>261</v>
      </c>
      <c r="H178" s="27" t="s">
        <v>55</v>
      </c>
    </row>
    <row r="179" customFormat="false" ht="15" hidden="false" customHeight="false" outlineLevel="0" collapsed="false">
      <c r="B179" s="22" t="s">
        <v>262</v>
      </c>
      <c r="C179" s="23" t="s">
        <v>57</v>
      </c>
      <c r="D179" s="28" t="n">
        <v>0.1</v>
      </c>
      <c r="E179" s="28" t="n">
        <v>0.1</v>
      </c>
      <c r="F179" s="28" t="n">
        <v>0.1</v>
      </c>
      <c r="G179" s="25" t="s">
        <v>263</v>
      </c>
      <c r="H179" s="26" t="s">
        <v>52</v>
      </c>
    </row>
    <row r="180" customFormat="false" ht="15" hidden="false" customHeight="false" outlineLevel="0" collapsed="false">
      <c r="B180" s="22" t="s">
        <v>264</v>
      </c>
      <c r="C180" s="23" t="s">
        <v>14</v>
      </c>
      <c r="D180" s="24" t="n">
        <v>1500</v>
      </c>
      <c r="E180" s="24" t="n">
        <v>1500</v>
      </c>
      <c r="F180" s="24" t="n">
        <v>1500</v>
      </c>
      <c r="G180" s="25" t="s">
        <v>265</v>
      </c>
      <c r="H180" s="27" t="s">
        <v>55</v>
      </c>
    </row>
    <row r="181" customFormat="false" ht="15" hidden="false" customHeight="false" outlineLevel="0" collapsed="false">
      <c r="B181" s="22" t="s">
        <v>266</v>
      </c>
      <c r="C181" s="23" t="s">
        <v>14</v>
      </c>
      <c r="D181" s="24" t="n">
        <v>150</v>
      </c>
      <c r="E181" s="24" t="n">
        <v>150</v>
      </c>
      <c r="F181" s="24" t="n">
        <v>150</v>
      </c>
      <c r="G181" s="25" t="s">
        <v>267</v>
      </c>
      <c r="H181" s="27" t="s">
        <v>55</v>
      </c>
    </row>
    <row r="182" customFormat="false" ht="15" hidden="false" customHeight="false" outlineLevel="0" collapsed="false">
      <c r="B182" s="22" t="s">
        <v>268</v>
      </c>
      <c r="C182" s="23" t="s">
        <v>14</v>
      </c>
      <c r="D182" s="24" t="n">
        <v>15</v>
      </c>
      <c r="E182" s="24" t="n">
        <v>15</v>
      </c>
      <c r="F182" s="24" t="n">
        <v>15</v>
      </c>
      <c r="G182" s="25" t="s">
        <v>269</v>
      </c>
      <c r="H182" s="26" t="s">
        <v>52</v>
      </c>
    </row>
    <row r="183" customFormat="false" ht="15" hidden="false" customHeight="false" outlineLevel="0" collapsed="false">
      <c r="B183" s="22" t="s">
        <v>270</v>
      </c>
      <c r="C183" s="23" t="s">
        <v>57</v>
      </c>
      <c r="D183" s="28" t="n">
        <v>0.04</v>
      </c>
      <c r="E183" s="28" t="n">
        <v>0.04</v>
      </c>
      <c r="F183" s="28" t="n">
        <v>0.04</v>
      </c>
      <c r="G183" s="25" t="s">
        <v>271</v>
      </c>
      <c r="H183" s="26" t="s">
        <v>272</v>
      </c>
    </row>
    <row r="184" customFormat="false" ht="15" hidden="false" customHeight="false" outlineLevel="0" collapsed="false">
      <c r="B184" s="22" t="s">
        <v>273</v>
      </c>
      <c r="C184" s="23" t="s">
        <v>57</v>
      </c>
      <c r="D184" s="28" t="n">
        <v>0</v>
      </c>
      <c r="E184" s="28" t="n">
        <v>0</v>
      </c>
      <c r="F184" s="28" t="n">
        <v>0</v>
      </c>
      <c r="G184" s="25" t="s">
        <v>274</v>
      </c>
      <c r="H184" s="27" t="s">
        <v>55</v>
      </c>
    </row>
    <row r="185" customFormat="false" ht="15" hidden="false" customHeight="false" outlineLevel="0" collapsed="false">
      <c r="B185" s="22" t="s">
        <v>275</v>
      </c>
      <c r="C185" s="23" t="s">
        <v>57</v>
      </c>
      <c r="D185" s="28" t="n">
        <v>0.1</v>
      </c>
      <c r="E185" s="28" t="n">
        <v>0.1</v>
      </c>
      <c r="F185" s="28" t="n">
        <v>0.1</v>
      </c>
      <c r="G185" s="25" t="s">
        <v>276</v>
      </c>
      <c r="H185" s="26" t="s">
        <v>277</v>
      </c>
    </row>
    <row r="186" customFormat="false" ht="15" hidden="false" customHeight="false" outlineLevel="0" collapsed="false">
      <c r="B186" s="22" t="s">
        <v>278</v>
      </c>
      <c r="C186" s="23" t="s">
        <v>172</v>
      </c>
      <c r="D186" s="58" t="n">
        <f aca="false">D97+1</f>
        <v>3</v>
      </c>
      <c r="E186" s="58" t="n">
        <f aca="false">E97+1</f>
        <v>3</v>
      </c>
      <c r="F186" s="58" t="n">
        <f aca="false">F97+1</f>
        <v>3</v>
      </c>
      <c r="G186" s="25" t="s">
        <v>279</v>
      </c>
    </row>
    <row r="187" customFormat="false" ht="15" hidden="false" customHeight="false" outlineLevel="0" collapsed="false">
      <c r="B187" s="22" t="s">
        <v>280</v>
      </c>
      <c r="C187" s="23" t="s">
        <v>37</v>
      </c>
      <c r="D187" s="42" t="n">
        <f aca="false">D79+D128</f>
        <v>5.55788063544083</v>
      </c>
      <c r="E187" s="42" t="n">
        <f aca="false">E79+E128</f>
        <v>26.9793968851382</v>
      </c>
      <c r="F187" s="42" t="n">
        <f aca="false">F79+F128</f>
        <v>114.7625951169</v>
      </c>
      <c r="G187" s="25"/>
    </row>
    <row r="188" customFormat="false" ht="15" hidden="false" customHeight="false" outlineLevel="0" collapsed="false">
      <c r="B188" s="22" t="s">
        <v>281</v>
      </c>
      <c r="C188" s="23" t="s">
        <v>14</v>
      </c>
      <c r="D188" s="53" t="n">
        <f aca="false">D35+D106</f>
        <v>5000</v>
      </c>
      <c r="E188" s="53" t="n">
        <f aca="false">E35+E106</f>
        <v>5000</v>
      </c>
      <c r="F188" s="53" t="n">
        <f aca="false">F35+F106</f>
        <v>5000</v>
      </c>
      <c r="G188" s="25"/>
    </row>
    <row r="189" customFormat="false" ht="15" hidden="false" customHeight="false" outlineLevel="0" collapsed="false">
      <c r="B189" s="22" t="s">
        <v>282</v>
      </c>
      <c r="C189" s="23" t="s">
        <v>14</v>
      </c>
      <c r="D189" s="53" t="n">
        <f aca="false">D174+D175</f>
        <v>1300</v>
      </c>
      <c r="E189" s="53" t="n">
        <f aca="false">E174+E175</f>
        <v>1300</v>
      </c>
      <c r="F189" s="53" t="n">
        <f aca="false">F174+F175</f>
        <v>1300</v>
      </c>
      <c r="G189" s="25"/>
    </row>
    <row r="190" customFormat="false" ht="15" hidden="false" customHeight="false" outlineLevel="0" collapsed="false">
      <c r="B190" s="22" t="s">
        <v>283</v>
      </c>
      <c r="C190" s="23" t="s">
        <v>14</v>
      </c>
      <c r="D190" s="53" t="n">
        <f aca="false">D176*D186+(D75+D124)*D177</f>
        <v>392.833206554693</v>
      </c>
      <c r="E190" s="53" t="n">
        <f aca="false">E176*E186+(E75+E124)*E177</f>
        <v>398.31140003022</v>
      </c>
      <c r="F190" s="53" t="n">
        <f aca="false">F176*F186+(F75+F124)*F177</f>
        <v>412.5219243669</v>
      </c>
      <c r="G190" s="25"/>
    </row>
    <row r="191" customFormat="false" ht="15" hidden="false" customHeight="false" outlineLevel="0" collapsed="false">
      <c r="B191" s="22" t="s">
        <v>284</v>
      </c>
      <c r="C191" s="23" t="s">
        <v>14</v>
      </c>
      <c r="D191" s="53" t="n">
        <f aca="false">D178*D186+(D82+D131)*D179</f>
        <v>1008.17563537987</v>
      </c>
      <c r="E191" s="53" t="n">
        <f aca="false">E178*E186+(E82+E131)*E179</f>
        <v>1440.59354840326</v>
      </c>
      <c r="F191" s="53" t="n">
        <f aca="false">F178*F186+(F82+F131)*F179</f>
        <v>3355.1043219042</v>
      </c>
      <c r="G191" s="25"/>
    </row>
    <row r="192" customFormat="false" ht="15" hidden="false" customHeight="false" outlineLevel="0" collapsed="false">
      <c r="B192" s="22" t="s">
        <v>285</v>
      </c>
      <c r="C192" s="23" t="s">
        <v>14</v>
      </c>
      <c r="D192" s="53" t="n">
        <f aca="false">D180</f>
        <v>1500</v>
      </c>
      <c r="E192" s="53" t="n">
        <f aca="false">E180</f>
        <v>1500</v>
      </c>
      <c r="F192" s="53" t="n">
        <f aca="false">F180</f>
        <v>1500</v>
      </c>
      <c r="G192" s="25"/>
    </row>
    <row r="193" customFormat="false" ht="15" hidden="false" customHeight="false" outlineLevel="0" collapsed="false">
      <c r="B193" s="22" t="s">
        <v>286</v>
      </c>
      <c r="C193" s="23" t="s">
        <v>14</v>
      </c>
      <c r="D193" s="53" t="n">
        <f aca="false">D181*D186</f>
        <v>450</v>
      </c>
      <c r="E193" s="53" t="n">
        <f aca="false">E181*E186</f>
        <v>450</v>
      </c>
      <c r="F193" s="53" t="n">
        <f aca="false">F181*F186</f>
        <v>450</v>
      </c>
      <c r="G193" s="25"/>
    </row>
    <row r="194" customFormat="false" ht="15" hidden="false" customHeight="false" outlineLevel="0" collapsed="false">
      <c r="B194" s="22" t="s">
        <v>287</v>
      </c>
      <c r="C194" s="23" t="s">
        <v>14</v>
      </c>
      <c r="D194" s="53" t="n">
        <f aca="false">D187*D182</f>
        <v>83.3682095316125</v>
      </c>
      <c r="E194" s="53" t="n">
        <f aca="false">E187*E182</f>
        <v>404.690953277073</v>
      </c>
      <c r="F194" s="53" t="n">
        <f aca="false">F187*F182</f>
        <v>1721.4389267535</v>
      </c>
      <c r="G194" s="25"/>
    </row>
    <row r="195" customFormat="false" ht="15" hidden="false" customHeight="false" outlineLevel="0" collapsed="false">
      <c r="B195" s="22" t="s">
        <v>288</v>
      </c>
      <c r="C195" s="23" t="s">
        <v>14</v>
      </c>
      <c r="D195" s="53" t="n">
        <f aca="false">D168*D183</f>
        <v>54.7028843662628</v>
      </c>
      <c r="E195" s="53" t="n">
        <f aca="false">E168*E183</f>
        <v>290.148035243437</v>
      </c>
      <c r="F195" s="53" t="n">
        <f aca="false">F168*F183</f>
        <v>1298.03380832921</v>
      </c>
      <c r="G195" s="25" t="s">
        <v>289</v>
      </c>
    </row>
    <row r="196" customFormat="false" ht="15" hidden="false" customHeight="false" outlineLevel="0" collapsed="false">
      <c r="B196" s="47" t="s">
        <v>290</v>
      </c>
      <c r="C196" s="48" t="s">
        <v>14</v>
      </c>
      <c r="D196" s="52" t="n">
        <f aca="false">D188+D189+D190+D191+D192+D193+D194+D195</f>
        <v>9789.07993583244</v>
      </c>
      <c r="E196" s="52" t="n">
        <f aca="false">E188+E189+E190+E191+E192+E193+E194+E195</f>
        <v>10783.743936954</v>
      </c>
      <c r="F196" s="52" t="n">
        <f aca="false">F188+F189+F190+F191+F192+F193+F194+F195</f>
        <v>15037.0989813538</v>
      </c>
      <c r="G196" s="50"/>
      <c r="H196" s="51"/>
    </row>
    <row r="197" customFormat="false" ht="15" hidden="false" customHeight="false" outlineLevel="0" collapsed="false">
      <c r="B197" s="59" t="s">
        <v>291</v>
      </c>
      <c r="C197" s="59"/>
      <c r="D197" s="59"/>
      <c r="E197" s="59"/>
      <c r="F197" s="59"/>
      <c r="G197" s="59"/>
      <c r="H197" s="59"/>
    </row>
    <row r="198" customFormat="false" ht="15" hidden="false" customHeight="false" outlineLevel="0" collapsed="false">
      <c r="B198" s="22" t="s">
        <v>292</v>
      </c>
      <c r="C198" s="23" t="s">
        <v>14</v>
      </c>
      <c r="D198" s="53" t="n">
        <f aca="false">D35+D75*D177+D82*D179+D79*D182</f>
        <v>5183.296</v>
      </c>
      <c r="E198" s="53" t="n">
        <f aca="false">E35+E75*E177+E82*E179+E79*E182</f>
        <v>5856.94140625</v>
      </c>
      <c r="F198" s="53" t="n">
        <f aca="false">F35+F75*F177+F82*F179+F79*F182</f>
        <v>8698.7</v>
      </c>
      <c r="G198" s="25" t="s">
        <v>293</v>
      </c>
    </row>
    <row r="199" customFormat="false" ht="15" hidden="false" customHeight="false" outlineLevel="0" collapsed="false">
      <c r="B199" s="22" t="s">
        <v>294</v>
      </c>
      <c r="C199" s="23" t="s">
        <v>14</v>
      </c>
      <c r="D199" s="53" t="n">
        <f aca="false">D106+D124*D177+D131*D179+D128*D182</f>
        <v>11.0810514661734</v>
      </c>
      <c r="E199" s="53" t="n">
        <f aca="false">E106+E124*E177+E131*E179+E128*E182</f>
        <v>96.6544954605542</v>
      </c>
      <c r="F199" s="53" t="n">
        <f aca="false">F106+F124*F177+F131*F179+F128*F182</f>
        <v>500.3651730246</v>
      </c>
      <c r="G199" s="25"/>
    </row>
    <row r="200" customFormat="false" ht="15" hidden="false" customHeight="false" outlineLevel="0" collapsed="false">
      <c r="B200" s="22" t="s">
        <v>295</v>
      </c>
      <c r="C200" s="23" t="s">
        <v>14</v>
      </c>
      <c r="D200" s="53" t="n">
        <f aca="false">D176+D178+D181+D180/D186</f>
        <v>1080</v>
      </c>
      <c r="E200" s="53" t="n">
        <f aca="false">E176+E178+E181+E180/E186</f>
        <v>1080</v>
      </c>
      <c r="F200" s="53" t="n">
        <f aca="false">F176+F178+F181+F180/F186</f>
        <v>1080</v>
      </c>
      <c r="G200" s="25" t="s">
        <v>296</v>
      </c>
    </row>
    <row r="201" customFormat="false" ht="15" hidden="false" customHeight="false" outlineLevel="0" collapsed="false">
      <c r="B201" s="34" t="s">
        <v>45</v>
      </c>
      <c r="C201" s="35" t="s">
        <v>14</v>
      </c>
      <c r="D201" s="60" t="n">
        <f aca="false">D35+D189+D180+D176+D178+D181</f>
        <v>8380</v>
      </c>
      <c r="E201" s="60" t="n">
        <f aca="false">E35+E189+E180+E176+E178+E181</f>
        <v>8380</v>
      </c>
      <c r="F201" s="60" t="n">
        <f aca="false">F35+F189+F180+F176+F178+F181</f>
        <v>8380</v>
      </c>
      <c r="G201" s="37" t="s">
        <v>297</v>
      </c>
      <c r="H201" s="38"/>
    </row>
    <row r="203" customFormat="false" ht="19.5" hidden="false" customHeight="true" outlineLevel="0" collapsed="false">
      <c r="B203" s="8" t="s">
        <v>298</v>
      </c>
      <c r="C203" s="8"/>
      <c r="D203" s="8"/>
      <c r="E203" s="8"/>
      <c r="F203" s="8"/>
      <c r="G203" s="8"/>
      <c r="H203" s="8"/>
    </row>
    <row r="204" customFormat="false" ht="15" hidden="false" customHeight="false" outlineLevel="0" collapsed="false">
      <c r="B204" s="47" t="s">
        <v>299</v>
      </c>
      <c r="C204" s="48" t="s">
        <v>14</v>
      </c>
      <c r="D204" s="52" t="n">
        <f aca="false">D168-D196</f>
        <v>-8421.50782667587</v>
      </c>
      <c r="E204" s="52" t="n">
        <f aca="false">E168-E196</f>
        <v>-3530.04305586807</v>
      </c>
      <c r="F204" s="52" t="n">
        <f aca="false">F168-F196</f>
        <v>17413.7462268764</v>
      </c>
      <c r="G204" s="50"/>
      <c r="H204" s="51"/>
    </row>
    <row r="205" customFormat="false" ht="15" hidden="false" customHeight="false" outlineLevel="0" collapsed="false">
      <c r="B205" s="22" t="s">
        <v>28</v>
      </c>
      <c r="C205" s="23" t="s">
        <v>14</v>
      </c>
      <c r="D205" s="53" t="n">
        <f aca="false">D204+D189</f>
        <v>-7121.50782667587</v>
      </c>
      <c r="E205" s="53" t="n">
        <f aca="false">E204+E189</f>
        <v>-2230.04305586807</v>
      </c>
      <c r="F205" s="53" t="n">
        <f aca="false">F204+F189</f>
        <v>18713.7462268764</v>
      </c>
      <c r="G205" s="25" t="s">
        <v>300</v>
      </c>
    </row>
    <row r="206" customFormat="false" ht="15" hidden="false" customHeight="false" outlineLevel="0" collapsed="false">
      <c r="B206" s="22" t="s">
        <v>301</v>
      </c>
      <c r="C206" s="23" t="s">
        <v>14</v>
      </c>
      <c r="D206" s="53" t="n">
        <f aca="false">MAX(0,D204)*D184</f>
        <v>0</v>
      </c>
      <c r="E206" s="53" t="n">
        <f aca="false">MAX(0,E204)*E184</f>
        <v>0</v>
      </c>
      <c r="F206" s="53" t="n">
        <f aca="false">MAX(0,F204)*F184</f>
        <v>0</v>
      </c>
      <c r="G206" s="25"/>
    </row>
    <row r="207" customFormat="false" ht="15" hidden="false" customHeight="false" outlineLevel="0" collapsed="false">
      <c r="B207" s="34" t="s">
        <v>302</v>
      </c>
      <c r="C207" s="35" t="s">
        <v>14</v>
      </c>
      <c r="D207" s="60" t="n">
        <f aca="false">D204-D206</f>
        <v>-8421.50782667587</v>
      </c>
      <c r="E207" s="60" t="n">
        <f aca="false">E204-E206</f>
        <v>-3530.04305586807</v>
      </c>
      <c r="F207" s="60" t="n">
        <f aca="false">F204-F206</f>
        <v>17413.7462268764</v>
      </c>
      <c r="G207" s="37"/>
      <c r="H207" s="38"/>
    </row>
    <row r="208" customFormat="false" ht="15" hidden="false" customHeight="false" outlineLevel="0" collapsed="false">
      <c r="B208" s="22" t="s">
        <v>31</v>
      </c>
      <c r="C208" s="23" t="s">
        <v>14</v>
      </c>
      <c r="D208" s="53" t="n">
        <f aca="false">D207-MAX(0,D207)*D185</f>
        <v>-8421.50782667587</v>
      </c>
      <c r="E208" s="53" t="n">
        <f aca="false">E207-MAX(0,E207)*E185</f>
        <v>-3530.04305586807</v>
      </c>
      <c r="F208" s="53" t="n">
        <f aca="false">F207-MAX(0,F207)*F185</f>
        <v>15672.3716041888</v>
      </c>
      <c r="G208" s="25" t="s">
        <v>303</v>
      </c>
    </row>
    <row r="209" customFormat="false" ht="15" hidden="false" customHeight="false" outlineLevel="0" collapsed="false">
      <c r="B209" s="22" t="s">
        <v>304</v>
      </c>
      <c r="C209" s="23" t="s">
        <v>57</v>
      </c>
      <c r="D209" s="54" t="n">
        <f aca="false">IF(D161&gt;0,D204/D161,0)</f>
        <v>-5.05079086740042</v>
      </c>
      <c r="E209" s="54" t="n">
        <f aca="false">IF(E161&gt;0,E204/E161,0)</f>
        <v>-0.436140594110491</v>
      </c>
      <c r="F209" s="54" t="n">
        <f aca="false">IF(F161&gt;0,F204/F161,0)</f>
        <v>0.505790416268714</v>
      </c>
      <c r="G209" s="25"/>
    </row>
    <row r="210" customFormat="false" ht="15" hidden="false" customHeight="false" outlineLevel="0" collapsed="false">
      <c r="B210" s="22" t="s">
        <v>33</v>
      </c>
      <c r="C210" s="23" t="s">
        <v>34</v>
      </c>
      <c r="D210" s="55" t="n">
        <f aca="false">IF(D188&gt;0,D204/D188,0)</f>
        <v>-1.68430156533517</v>
      </c>
      <c r="E210" s="55" t="n">
        <f aca="false">IF(E188&gt;0,E204/E188,0)</f>
        <v>-0.706008611173615</v>
      </c>
      <c r="F210" s="55" t="n">
        <f aca="false">IF(F188&gt;0,F204/F188,0)</f>
        <v>3.48274924537528</v>
      </c>
      <c r="G210" s="25"/>
    </row>
    <row r="211" customFormat="false" ht="15" hidden="false" customHeight="false" outlineLevel="0" collapsed="false">
      <c r="B211" s="22" t="s">
        <v>305</v>
      </c>
      <c r="C211" s="23" t="s">
        <v>57</v>
      </c>
      <c r="D211" s="54" t="n">
        <f aca="false">IF(D161&gt;0,D130/D161,0)</f>
        <v>0.0592097342541669</v>
      </c>
      <c r="E211" s="54" t="n">
        <f aca="false">IF(E161&gt;0,E130/E161,0)</f>
        <v>0.104148571115243</v>
      </c>
      <c r="F211" s="54" t="n">
        <f aca="false">IF(F161&gt;0,F130/F161,0)</f>
        <v>0.123843444829935</v>
      </c>
      <c r="G211" s="25" t="s">
        <v>306</v>
      </c>
    </row>
    <row r="212" customFormat="false" ht="15" hidden="false" customHeight="false" outlineLevel="0" collapsed="false">
      <c r="B212" s="22" t="s">
        <v>307</v>
      </c>
      <c r="C212" s="23" t="s">
        <v>14</v>
      </c>
      <c r="D212" s="53" t="n">
        <f aca="false">D83+D132</f>
        <v>373.98326521945</v>
      </c>
      <c r="E212" s="53" t="n">
        <f aca="false">E83+E132</f>
        <v>1745.39400634614</v>
      </c>
      <c r="F212" s="53" t="n">
        <f aca="false">F83+F132</f>
        <v>6756.57731007</v>
      </c>
      <c r="G212" s="25"/>
    </row>
    <row r="213" customFormat="false" ht="15" hidden="false" customHeight="false" outlineLevel="0" collapsed="false">
      <c r="B213" s="22" t="s">
        <v>308</v>
      </c>
      <c r="C213" s="23" t="s">
        <v>34</v>
      </c>
      <c r="D213" s="55" t="n">
        <f aca="false">IF(D190+D174&gt;0,D212/(D190+D174),0)</f>
        <v>0.220921508256913</v>
      </c>
      <c r="E213" s="55" t="n">
        <f aca="false">IF(E190+E174&gt;0,E212/(E190+E174),0)</f>
        <v>1.0277231880532</v>
      </c>
      <c r="F213" s="55" t="n">
        <f aca="false">IF(F190+F174&gt;0,F212/(F190+F174),0)</f>
        <v>3.94539609328963</v>
      </c>
      <c r="G213" s="25" t="s">
        <v>309</v>
      </c>
    </row>
    <row r="214" customFormat="false" ht="15" hidden="false" customHeight="false" outlineLevel="0" collapsed="false">
      <c r="B214" s="22" t="s">
        <v>310</v>
      </c>
      <c r="C214" s="23" t="s">
        <v>14</v>
      </c>
      <c r="D214" s="53" t="n">
        <f aca="false">D82+D131</f>
        <v>1081.75635379868</v>
      </c>
      <c r="E214" s="53" t="n">
        <f aca="false">E82+E131</f>
        <v>5405.93548403262</v>
      </c>
      <c r="F214" s="53" t="n">
        <f aca="false">F82+F131</f>
        <v>24551.043219042</v>
      </c>
      <c r="G214" s="25"/>
    </row>
    <row r="215" customFormat="false" ht="15" hidden="false" customHeight="false" outlineLevel="0" collapsed="false">
      <c r="B215" s="22" t="s">
        <v>311</v>
      </c>
      <c r="C215" s="23" t="s">
        <v>57</v>
      </c>
      <c r="D215" s="54" t="n">
        <f aca="false">IF(D161&gt;0,D214/D161,0)</f>
        <v>0.648782287562796</v>
      </c>
      <c r="E215" s="54" t="n">
        <f aca="false">IF(E161&gt;0,E214/E161,0)</f>
        <v>0.667909109439794</v>
      </c>
      <c r="F215" s="54" t="n">
        <f aca="false">IF(F161&gt;0,F214/F161,0)</f>
        <v>0.713096550725252</v>
      </c>
      <c r="G215" s="25"/>
    </row>
    <row r="216" customFormat="false" ht="15" hidden="false" customHeight="false" outlineLevel="0" collapsed="false">
      <c r="B216" s="59" t="s">
        <v>312</v>
      </c>
      <c r="C216" s="59"/>
      <c r="D216" s="59"/>
      <c r="E216" s="59"/>
      <c r="F216" s="59"/>
      <c r="G216" s="59"/>
      <c r="H216" s="59"/>
    </row>
    <row r="217" customFormat="false" ht="15" hidden="false" customHeight="false" outlineLevel="0" collapsed="false">
      <c r="B217" s="22" t="s">
        <v>313</v>
      </c>
      <c r="C217" s="23" t="s">
        <v>14</v>
      </c>
      <c r="D217" s="33" t="n">
        <f aca="false">IF(D42&gt;0,D81/D42,0)</f>
        <v>2.451</v>
      </c>
      <c r="E217" s="33" t="n">
        <f aca="false">IF(E42&gt;0,E81/E42,0)</f>
        <v>5.8006875</v>
      </c>
      <c r="F217" s="33" t="n">
        <f aca="false">IF(F42&gt;0,F81/F42,0)</f>
        <v>12.066</v>
      </c>
      <c r="G217" s="25"/>
    </row>
    <row r="218" customFormat="false" ht="15" hidden="false" customHeight="false" outlineLevel="0" collapsed="false">
      <c r="B218" s="22" t="s">
        <v>314</v>
      </c>
      <c r="C218" s="23" t="s">
        <v>14</v>
      </c>
      <c r="D218" s="33" t="n">
        <f aca="false">IF(D42&gt;0,D161/D42,0)</f>
        <v>2.60525654786289</v>
      </c>
      <c r="E218" s="33" t="n">
        <f aca="false">IF(E42&gt;0,E161/E42,0)</f>
        <v>6.47505525243317</v>
      </c>
      <c r="F218" s="33" t="n">
        <f aca="false">IF(F42&gt;0,F161/F42,0)</f>
        <v>13.771511414028</v>
      </c>
      <c r="G218" s="25"/>
    </row>
    <row r="219" customFormat="false" ht="15" hidden="false" customHeight="false" outlineLevel="0" collapsed="false">
      <c r="B219" s="22" t="s">
        <v>315</v>
      </c>
      <c r="C219" s="23" t="s">
        <v>57</v>
      </c>
      <c r="D219" s="54" t="n">
        <f aca="false">IF(D161&gt;0,D168/D161,0)</f>
        <v>0.8202</v>
      </c>
      <c r="E219" s="54" t="n">
        <f aca="false">IF(E161&gt;0,E168/E161,0)</f>
        <v>0.8962025</v>
      </c>
      <c r="F219" s="54" t="n">
        <f aca="false">IF(F161&gt;0,F168/F161,0)</f>
        <v>0.94255</v>
      </c>
      <c r="G219" s="25"/>
    </row>
    <row r="220" customFormat="false" ht="15" hidden="false" customHeight="false" outlineLevel="0" collapsed="false">
      <c r="B220" s="22" t="s">
        <v>316</v>
      </c>
      <c r="C220" s="23" t="s">
        <v>14</v>
      </c>
      <c r="D220" s="33" t="n">
        <f aca="false">IF(D42&gt;0,(D81*D219*(1-D183)-D75*D177-D82*D179-D79*D182)/D42,0)</f>
        <v>1.643497792</v>
      </c>
      <c r="E220" s="33" t="n">
        <f aca="false">IF(E42&gt;0,(E81*E219*(1-E183)-E75*E177-E82*E179-E79*E182)/E42,0)</f>
        <v>4.30509388865</v>
      </c>
      <c r="F220" s="33" t="n">
        <f aca="false">IF(F42&gt;0,(F81*F219*(1-F183)-F75*F177-F82*F179-F79*F182)/F42,0)</f>
        <v>9.438415968</v>
      </c>
      <c r="G220" s="25" t="s">
        <v>317</v>
      </c>
    </row>
    <row r="221" customFormat="false" ht="15" hidden="false" customHeight="false" outlineLevel="0" collapsed="false">
      <c r="B221" s="34" t="s">
        <v>318</v>
      </c>
      <c r="C221" s="35" t="s">
        <v>14</v>
      </c>
      <c r="D221" s="39" t="n">
        <f aca="false">IF(D42&gt;0,(D161*D219*(1-D183)-(D75+D124)*D177-(D82+D131)*D179-D187*D182)/D42,0)</f>
        <v>1.74764402081896</v>
      </c>
      <c r="E221" s="39" t="n">
        <f aca="false">IF(E42&gt;0,(E161*E219*(1-E183)-(E75+E124)*E177-(E82+E131)*E179-E187*E182)/E42,0)</f>
        <v>4.80796555530554</v>
      </c>
      <c r="F221" s="39" t="n">
        <f aca="false">IF(F42&gt;0,(F161*F219*(1-F183)-(F75+F124)*F177-(F82+F131)*F179-F187*F182)/F42,0)</f>
        <v>10.7814984907506</v>
      </c>
      <c r="G221" s="37" t="s">
        <v>319</v>
      </c>
      <c r="H221" s="38"/>
    </row>
    <row r="222" customFormat="false" ht="15" hidden="false" customHeight="false" outlineLevel="0" collapsed="false">
      <c r="B222" s="22" t="s">
        <v>320</v>
      </c>
      <c r="C222" s="23" t="s">
        <v>34</v>
      </c>
      <c r="D222" s="55" t="n">
        <f aca="false">IF(D43&gt;0,D221/D43,0)</f>
        <v>0.223698434664827</v>
      </c>
      <c r="E222" s="55" t="n">
        <f aca="false">IF(E43&gt;0,E221/E43,0)</f>
        <v>1.20199138882639</v>
      </c>
      <c r="F222" s="55" t="n">
        <f aca="false">IF(F43&gt;0,F221/F43,0)</f>
        <v>5.39074924537528</v>
      </c>
      <c r="G222" s="25"/>
    </row>
    <row r="223" customFormat="false" ht="15" hidden="false" customHeight="false" outlineLevel="0" collapsed="false">
      <c r="B223" s="22" t="s">
        <v>321</v>
      </c>
      <c r="C223" s="23" t="s">
        <v>14</v>
      </c>
      <c r="D223" s="53" t="n">
        <f aca="false">D180+(D176+D178+D181)*D186+D106+D189</f>
        <v>4540</v>
      </c>
      <c r="E223" s="53" t="n">
        <f aca="false">E180+(E176+E178+E181)*E186+E106+E189</f>
        <v>4540</v>
      </c>
      <c r="F223" s="53" t="n">
        <f aca="false">F180+(F176+F178+F181)*F186+F106+F189</f>
        <v>4540</v>
      </c>
      <c r="G223" s="25" t="s">
        <v>322</v>
      </c>
    </row>
    <row r="224" customFormat="false" ht="15" hidden="false" customHeight="false" outlineLevel="0" collapsed="false">
      <c r="B224" s="22" t="s">
        <v>323</v>
      </c>
      <c r="C224" s="23" t="s">
        <v>85</v>
      </c>
      <c r="D224" s="32" t="str">
        <f aca="false">IF(D221-D43&gt;0,D223/(D221-D43),"не выходим")</f>
        <v>не выходим</v>
      </c>
      <c r="E224" s="32" t="n">
        <f aca="false">IF(E221-E43&gt;0,E223/(E221-E43),"не выходим")</f>
        <v>5619.05141894712</v>
      </c>
      <c r="F224" s="32" t="n">
        <f aca="false">IF(F221-F43&gt;0,F223/(F221-F43),"не выходим")</f>
        <v>516.996046264988</v>
      </c>
      <c r="G224" s="25" t="s">
        <v>324</v>
      </c>
    </row>
    <row r="225" customFormat="false" ht="15" hidden="false" customHeight="false" outlineLevel="0" collapsed="false">
      <c r="B225" s="22" t="s">
        <v>43</v>
      </c>
      <c r="C225" s="23" t="s">
        <v>14</v>
      </c>
      <c r="D225" s="53" t="str">
        <f aca="false">IF(ISNUMBER(D224),D224*D43,"не выходим")</f>
        <v>не выходим</v>
      </c>
      <c r="E225" s="53" t="n">
        <f aca="false">IF(ISNUMBER(E224),E224*E43,"не выходим")</f>
        <v>22476.2056757885</v>
      </c>
      <c r="F225" s="53" t="n">
        <f aca="false">IF(ISNUMBER(F224),F224*F43,"не выходим")</f>
        <v>1033.99209252998</v>
      </c>
      <c r="G225" s="25" t="s">
        <v>325</v>
      </c>
    </row>
    <row r="226" customFormat="false" ht="15" hidden="false" customHeight="false" outlineLevel="0" collapsed="false">
      <c r="B226" s="43" t="s">
        <v>326</v>
      </c>
      <c r="C226" s="44"/>
      <c r="D226" s="45" t="str">
        <f aca="false">IF(D42=0,"—",IF(ABS(D42*(D221-D43)-D223-D204)&lt;0.5,"ок","ОШИБКА"))</f>
        <v>ок</v>
      </c>
      <c r="E226" s="45" t="str">
        <f aca="false">IF(E42=0,"—",IF(ABS(E42*(E221-E43)-E223-E204)&lt;0.5,"ок","ОШИБКА"))</f>
        <v>ок</v>
      </c>
      <c r="F226" s="45" t="str">
        <f aca="false">IF(F42=0,"—",IF(ABS(F42*(F221-F43)-F223-F204)&lt;0.5,"ок","ОШИБКА"))</f>
        <v>ок</v>
      </c>
      <c r="G226" s="46"/>
    </row>
  </sheetData>
  <conditionalFormatting sqref="D56:F56">
    <cfRule type="expression" priority="2" aboveAverage="0" equalAverage="0" bottom="0" percent="0" rank="0" text="" dxfId="0">
      <formula>ISNUMBER(SEARCH("ОШИБКА",D56))</formula>
    </cfRule>
  </conditionalFormatting>
  <conditionalFormatting sqref="D66:F66">
    <cfRule type="expression" priority="3" aboveAverage="0" equalAverage="0" bottom="0" percent="0" rank="0" text="" dxfId="0">
      <formula>ISNUMBER(SEARCH("ОШИБКА",D66))</formula>
    </cfRule>
  </conditionalFormatting>
  <conditionalFormatting sqref="D119:F119">
    <cfRule type="expression" priority="4" aboveAverage="0" equalAverage="0" bottom="0" percent="0" rank="0" text="" dxfId="0">
      <formula>ISNUMBER(SEARCH("ОШИБКА",D119))</formula>
    </cfRule>
  </conditionalFormatting>
  <conditionalFormatting sqref="D139:F139">
    <cfRule type="expression" priority="5" aboveAverage="0" equalAverage="0" bottom="0" percent="0" rank="0" text="" dxfId="0">
      <formula>ISNUMBER(SEARCH("ОШИБКА",D139))</formula>
    </cfRule>
  </conditionalFormatting>
  <conditionalFormatting sqref="D171:F171">
    <cfRule type="expression" priority="6" aboveAverage="0" equalAverage="0" bottom="0" percent="0" rank="0" text="" dxfId="0">
      <formula>ISNUMBER(SEARCH("ОШИБКА",D171))</formula>
    </cfRule>
  </conditionalFormatting>
  <conditionalFormatting sqref="D226:F226">
    <cfRule type="expression" priority="7" aboveAverage="0" equalAverage="0" bottom="0" percent="0" rank="0" text="" dxfId="0">
      <formula>ISNUMBER(SEARCH("ОШИБКА",D226))</formula>
    </cfRule>
  </conditionalFormatting>
  <dataValidations count="5">
    <dataValidation allowBlank="false" error="Введи значение от 0% до 100%" errorStyle="stop" errorTitle="Процент" operator="between" showDropDown="false" showErrorMessage="true" showInputMessage="false" sqref="D29:F29 D38:F38 D41:F41 D47:F48 D50:F50 D52:F52 D54:F54 D61:F65 D67:F69 D90:F90 D93:F93 D101:F101 D104:F104 D110:F111 D113:F113 D115:F115 D117:F117 D136:F137 D140:F141 D144:F144 D146:F147 D179:F179 D183:F185" type="decimal">
      <formula1>0</formula1>
      <formula2>1</formula2>
    </dataValidation>
    <dataValidation allowBlank="false" error="Введи число не меньше 0" errorStyle="stop" errorTitle="Число" operator="greaterThanOrEqual" showDropDown="false" showErrorMessage="true" showInputMessage="false" sqref="D27:F28 D30:F31 D35:F36 D89:F89 D92:F92 D106:F107 D174:F178 D180:F182" type="decimal">
      <formula1>0</formula1>
      <formula2>0</formula2>
    </dataValidation>
    <dataValidation allowBlank="false" error="Целое число от 1 до 6" errorStyle="stop" errorTitle="Месяцы" operator="between" showDropDown="false" showErrorMessage="true" showInputMessage="false" sqref="D97:F97" type="whole">
      <formula1>1</formula1>
      <formula2>6</formula2>
    </dataValidation>
    <dataValidation allowBlank="false" error="Целое число от 1 до 12" errorStyle="stop" errorTitle="Месяцы" operator="between" showDropDown="false" showErrorMessage="true" showInputMessage="false" sqref="D142:F142" type="whole">
      <formula1>1</formula1>
      <formula2>12</formula2>
    </dataValidation>
    <dataValidation allowBlank="false" error="Выбери из списка" errorStyle="stop" errorTitle="Формат" operator="between" showDropDown="false" showErrorMessage="true" showInputMessage="false" sqref="D46:F46 D100:F100" type="list">
      <formula1>"Вебинар,Марафон 2 дня"</formula1>
      <formula2>0</formula2>
    </dataValidation>
  </dataValidations>
  <hyperlinks>
    <hyperlink ref="B5" r:id="rId1" display="Контекст — бриф рынка от 15.09.2026 (research/01-brif-rynka). Решение «идти / не идти» не принято: модель показывает, при каких цифрах цикл окупается. Ссылка на источник каждой цифры — в колонке H."/>
    <hyperlink ref="H27" r:id="rId2" display="бриф рынка"/>
    <hyperlink ref="H31" r:id="rId3" display="cbu.uz"/>
    <hyperlink ref="H36" r:id="rId4" display="aksanov.digital"/>
    <hyperlink ref="H38" r:id="rId5" display="101digital.uz"/>
    <hyperlink ref="H41" r:id="rId6" display="vc.ru"/>
    <hyperlink ref="H43" r:id="rId7" display="aksanov.digital"/>
    <hyperlink ref="H47" r:id="rId8" display="sostav.ru"/>
    <hyperlink ref="H50" r:id="rId9" display="skillspace.ru"/>
    <hyperlink ref="H52" r:id="rId10" display="skillspace.ru"/>
    <hyperlink ref="H54" r:id="rId11" display="skillspace.ru"/>
    <hyperlink ref="H64" r:id="rId12" display="sellergpt.ru"/>
    <hyperlink ref="H67" r:id="rId13" display="getcourse.ru"/>
    <hyperlink ref="H68" r:id="rId14" display="бриф рынка"/>
    <hyperlink ref="H93" r:id="rId15" display="vc.ru"/>
    <hyperlink ref="H101" r:id="rId16" display="telesputnik.ru"/>
    <hyperlink ref="H107" r:id="rId17" display="telegrad.uz"/>
    <hyperlink ref="H110" r:id="rId18" display="vc.ru"/>
    <hyperlink ref="H111" r:id="rId19" display="vc.ru"/>
    <hyperlink ref="H137" r:id="rId20" display="бриф рынка"/>
    <hyperlink ref="H140" r:id="rId21" display="uzneo.uz"/>
    <hyperlink ref="H141" r:id="rId22" display="бриф рынка"/>
    <hyperlink ref="H144" r:id="rId23" display="blog.whiteedtech.ru"/>
    <hyperlink ref="H146" r:id="rId24" display="blog.whiteedtech.ru"/>
    <hyperlink ref="H147" r:id="rId25" display="бриф рынка"/>
    <hyperlink ref="H174" r:id="rId26" display="innosoft.uz"/>
    <hyperlink ref="H175" r:id="rId27" display="azma.uz"/>
    <hyperlink ref="H176" r:id="rId28" display="innosoft.uz"/>
    <hyperlink ref="H177" r:id="rId29" display="botseller.ai"/>
    <hyperlink ref="H179" r:id="rId30" display="бриф рынка"/>
    <hyperlink ref="H182" r:id="rId31" display="бриф рынка"/>
    <hyperlink ref="H183" r:id="rId32" display="buxgalter.uz"/>
    <hyperlink ref="H185" r:id="rId33" display="taxsummaries.pwc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6" min="3" style="0" width="14"/>
    <col collapsed="false" customWidth="true" hidden="false" outlineLevel="0" max="7" min="7" style="0" width="2"/>
    <col collapsed="false" customWidth="true" hidden="false" outlineLevel="0" max="11" min="8" style="0" width="14"/>
    <col collapsed="false" customWidth="true" hidden="false" outlineLevel="0" max="12" min="12" style="0" width="2"/>
    <col collapsed="false" customWidth="true" hidden="false" outlineLevel="0" max="16" min="13" style="0" width="14"/>
  </cols>
  <sheetData>
    <row r="1" customFormat="false" ht="17.35" hidden="false" customHeight="false" outlineLevel="0" collapsed="false">
      <c r="B1" s="61" t="s">
        <v>327</v>
      </c>
    </row>
    <row r="2" customFormat="false" ht="15" hidden="false" customHeight="false" outlineLevel="0" collapsed="false">
      <c r="B2" s="2" t="s">
        <v>328</v>
      </c>
    </row>
    <row r="4" customFormat="false" ht="15" hidden="false" customHeight="false" outlineLevel="0" collapsed="false">
      <c r="C4" s="62" t="s">
        <v>7</v>
      </c>
      <c r="D4" s="62"/>
      <c r="E4" s="62"/>
      <c r="F4" s="62"/>
      <c r="H4" s="62" t="s">
        <v>8</v>
      </c>
      <c r="I4" s="62"/>
      <c r="J4" s="62"/>
      <c r="K4" s="62"/>
      <c r="M4" s="62" t="s">
        <v>9</v>
      </c>
      <c r="N4" s="62"/>
      <c r="O4" s="62"/>
      <c r="P4" s="62"/>
    </row>
    <row r="5" customFormat="false" ht="30" hidden="false" customHeight="true" outlineLevel="0" collapsed="false">
      <c r="B5" s="63" t="s">
        <v>329</v>
      </c>
      <c r="C5" s="64" t="s">
        <v>330</v>
      </c>
      <c r="D5" s="64" t="s">
        <v>331</v>
      </c>
      <c r="E5" s="64" t="s">
        <v>332</v>
      </c>
      <c r="F5" s="64" t="s">
        <v>333</v>
      </c>
      <c r="H5" s="64" t="s">
        <v>330</v>
      </c>
      <c r="I5" s="64" t="s">
        <v>331</v>
      </c>
      <c r="J5" s="64" t="s">
        <v>332</v>
      </c>
      <c r="K5" s="64" t="s">
        <v>333</v>
      </c>
      <c r="M5" s="64" t="s">
        <v>330</v>
      </c>
      <c r="N5" s="64" t="s">
        <v>331</v>
      </c>
      <c r="O5" s="64" t="s">
        <v>332</v>
      </c>
      <c r="P5" s="64" t="s">
        <v>333</v>
      </c>
    </row>
    <row r="6" customFormat="false" ht="15" hidden="false" customHeight="false" outlineLevel="0" collapsed="false">
      <c r="B6" s="65" t="n">
        <v>1</v>
      </c>
      <c r="C6" s="66" t="n">
        <f aca="false">IF($B6=1,'Декомпозиция цикла'!$D$149-'Декомпозиция цикла'!$D$152,0)+IF(AND($B6&gt;=2,$B6&lt;='Декомпозиция цикла'!$D$143),'Декомпозиция цикла'!$D$151,0)+IF($B6='Декомпозиция цикла'!$D$186,'Декомпозиция цикла'!$D$155-'Декомпозиция цикла'!$D$158,0)+IF(AND($B6&gt;='Декомпозиция цикла'!$D$186+1,$B6&lt;='Декомпозиция цикла'!$D$186+'Декомпозиция цикла'!$D$143-1),'Декомпозиция цикла'!$D$157,0)</f>
        <v>1125.185472</v>
      </c>
      <c r="D6" s="66" t="n">
        <f aca="false">IF($B6=1,'Декомпозиция цикла'!$D$198+'Декомпозиция цикла'!$D$189,0)+IF($B6='Декомпозиция цикла'!$D$186,'Декомпозиция цикла'!$D$199,0)+IF($B6&lt;='Декомпозиция цикла'!$D$186,'Декомпозиция цикла'!$D$200,0)+'Декомпозиция цикла'!$D$183*C6</f>
        <v>7608.30341888</v>
      </c>
      <c r="E6" s="66" t="n">
        <f aca="false">C6-D6</f>
        <v>-6483.11794688</v>
      </c>
      <c r="F6" s="67" t="n">
        <f aca="false">E6</f>
        <v>-6483.11794688</v>
      </c>
      <c r="H6" s="66" t="n">
        <f aca="false">IF($B6=1,'Декомпозиция цикла'!$E$149-'Декомпозиция цикла'!$E$152,0)+IF(AND($B6&gt;=2,$B6&lt;='Декомпозиция цикла'!$E$143),'Декомпозиция цикла'!$E$151,0)+IF($B6='Декомпозиция цикла'!$E$186,'Декомпозиция цикла'!$E$155-'Декомпозиция цикла'!$E$158,0)+IF(AND($B6&gt;='Декомпозиция цикла'!$E$186+1,$B6&lt;='Декомпозиция цикла'!$E$186+'Декомпозиция цикла'!$E$143-1),'Декомпозиция цикла'!$E$157,0)</f>
        <v>5951.86791796875</v>
      </c>
      <c r="I6" s="66" t="n">
        <f aca="false">IF($B6=1,'Декомпозиция цикла'!$E$198+'Декомпозиция цикла'!$E$189,0)+IF($B6='Декомпозиция цикла'!$E$186,'Декомпозиция цикла'!$E$199,0)+IF($B6&lt;='Декомпозиция цикла'!$E$186,'Декомпозиция цикла'!$E$200,0)+'Декомпозиция цикла'!$E$183*H6</f>
        <v>8475.01612296875</v>
      </c>
      <c r="J6" s="66" t="n">
        <f aca="false">H6-I6</f>
        <v>-2523.148205</v>
      </c>
      <c r="K6" s="67" t="n">
        <f aca="false">J6</f>
        <v>-2523.148205</v>
      </c>
      <c r="M6" s="66" t="n">
        <f aca="false">IF($B6=1,'Декомпозиция цикла'!$F$149-'Декомпозиция цикла'!$F$152,0)+IF(AND($B6&gt;=2,$B6&lt;='Декомпозиция цикла'!$F$143),'Декомпозиция цикла'!$F$151,0)+IF($B6='Декомпозиция цикла'!$F$186,'Декомпозиция цикла'!$F$155-'Декомпозиция цикла'!$F$158,0)+IF(AND($B6&gt;='Декомпозиция цикла'!$F$186+1,$B6&lt;='Декомпозиция цикла'!$F$186+'Декомпозиция цикла'!$F$143-1),'Декомпозиция цикла'!$F$157,0)</f>
        <v>27088.17</v>
      </c>
      <c r="N6" s="66" t="n">
        <f aca="false">IF($B6=1,'Декомпозиция цикла'!$F$198+'Декомпозиция цикла'!$F$189,0)+IF($B6='Декомпозиция цикла'!$F$186,'Декомпозиция цикла'!$F$199,0)+IF($B6&lt;='Декомпозиция цикла'!$F$186,'Декомпозиция цикла'!$F$200,0)+'Декомпозиция цикла'!$F$183*M6</f>
        <v>12162.2268</v>
      </c>
      <c r="O6" s="66" t="n">
        <f aca="false">M6-N6</f>
        <v>14925.9432</v>
      </c>
      <c r="P6" s="67" t="n">
        <f aca="false">O6</f>
        <v>14925.9432</v>
      </c>
    </row>
    <row r="7" customFormat="false" ht="15" hidden="false" customHeight="false" outlineLevel="0" collapsed="false">
      <c r="B7" s="65" t="n">
        <v>2</v>
      </c>
      <c r="C7" s="66" t="n">
        <f aca="false">IF($B7=1,'Декомпозиция цикла'!$D$149-'Декомпозиция цикла'!$D$152,0)+IF(AND($B7&gt;=2,$B7&lt;='Декомпозиция цикла'!$D$143),'Декомпозиция цикла'!$D$151,0)+IF($B7='Декомпозиция цикла'!$D$186,'Декомпозиция цикла'!$D$155-'Декомпозиция цикла'!$D$158,0)+IF(AND($B7&gt;='Декомпозиция цикла'!$D$186+1,$B7&lt;='Декомпозиция цикла'!$D$186+'Декомпозиция цикла'!$D$143-1),'Декомпозиция цикла'!$D$157,0)</f>
        <v>53.804352</v>
      </c>
      <c r="D7" s="66" t="n">
        <f aca="false">IF($B7=1,'Декомпозиция цикла'!$D$198+'Декомпозиция цикла'!$D$189,0)+IF($B7='Декомпозиция цикла'!$D$186,'Декомпозиция цикла'!$D$199,0)+IF($B7&lt;='Декомпозиция цикла'!$D$186,'Декомпозиция цикла'!$D$200,0)+'Декомпозиция цикла'!$D$183*C7</f>
        <v>1082.15217408</v>
      </c>
      <c r="E7" s="66" t="n">
        <f aca="false">C7-D7</f>
        <v>-1028.34782208</v>
      </c>
      <c r="F7" s="67" t="n">
        <f aca="false">F6+E7</f>
        <v>-7511.46576896</v>
      </c>
      <c r="H7" s="66" t="n">
        <f aca="false">IF($B7=1,'Декомпозиция цикла'!$E$149-'Декомпозиция цикла'!$E$152,0)+IF(AND($B7&gt;=2,$B7&lt;='Декомпозиция цикла'!$E$143),'Декомпозиция цикла'!$E$151,0)+IF($B7='Декомпозиция цикла'!$E$186,'Декомпозиция цикла'!$E$155-'Декомпозиция цикла'!$E$158,0)+IF(AND($B7&gt;='Декомпозиция цикла'!$E$186+1,$B7&lt;='Декомпозиция цикла'!$E$186+'Декомпозиция цикла'!$E$143-1),'Декомпозиция цикла'!$E$157,0)</f>
        <v>273.185190527344</v>
      </c>
      <c r="I7" s="66" t="n">
        <f aca="false">IF($B7=1,'Декомпозиция цикла'!$E$198+'Декомпозиция цикла'!$E$189,0)+IF($B7='Декомпозиция цикла'!$E$186,'Декомпозиция цикла'!$E$199,0)+IF($B7&lt;='Декомпозиция цикла'!$E$186,'Декомпозиция цикла'!$E$200,0)+'Декомпозиция цикла'!$E$183*H7</f>
        <v>1090.92740762109</v>
      </c>
      <c r="J7" s="66" t="n">
        <f aca="false">H7-I7</f>
        <v>-817.74221709375</v>
      </c>
      <c r="K7" s="67" t="n">
        <f aca="false">K6+J7</f>
        <v>-3340.89042209375</v>
      </c>
      <c r="M7" s="66" t="n">
        <f aca="false">IF($B7=1,'Декомпозиция цикла'!$F$149-'Декомпозиция цикла'!$F$152,0)+IF(AND($B7&gt;=2,$B7&lt;='Декомпозиция цикла'!$F$143),'Декомпозиция цикла'!$F$151,0)+IF($B7='Декомпозиция цикла'!$F$186,'Декомпозиция цикла'!$F$155-'Декомпозиция цикла'!$F$158,0)+IF(AND($B7&gt;='Декомпозиция цикла'!$F$186+1,$B7&lt;='Декомпозиция цикла'!$F$186+'Декомпозиция цикла'!$F$143-1),'Декомпозиция цикла'!$F$157,0)</f>
        <v>671.925375</v>
      </c>
      <c r="N7" s="66" t="n">
        <f aca="false">IF($B7=1,'Декомпозиция цикла'!$F$198+'Декомпозиция цикла'!$F$189,0)+IF($B7='Декомпозиция цикла'!$F$186,'Декомпозиция цикла'!$F$199,0)+IF($B7&lt;='Декомпозиция цикла'!$F$186,'Декомпозиция цикла'!$F$200,0)+'Декомпозиция цикла'!$F$183*M7</f>
        <v>1106.877015</v>
      </c>
      <c r="O7" s="66" t="n">
        <f aca="false">M7-N7</f>
        <v>-434.95164</v>
      </c>
      <c r="P7" s="67" t="n">
        <f aca="false">P6+O7</f>
        <v>14490.99156</v>
      </c>
    </row>
    <row r="8" customFormat="false" ht="15" hidden="false" customHeight="false" outlineLevel="0" collapsed="false">
      <c r="B8" s="65" t="n">
        <v>3</v>
      </c>
      <c r="C8" s="66" t="n">
        <f aca="false">IF($B8=1,'Декомпозиция цикла'!$D$149-'Декомпозиция цикла'!$D$152,0)+IF(AND($B8&gt;=2,$B8&lt;='Декомпозиция цикла'!$D$143),'Декомпозиция цикла'!$D$151,0)+IF($B8='Декомпозиция цикла'!$D$186,'Декомпозиция цикла'!$D$155-'Декомпозиция цикла'!$D$158,0)+IF(AND($B8&gt;='Декомпозиция цикла'!$D$186+1,$B8&lt;='Декомпозиция цикла'!$D$186+'Декомпозиция цикла'!$D$143-1),'Декомпозиция цикла'!$D$157,0)</f>
        <v>124.619213940513</v>
      </c>
      <c r="D8" s="66" t="n">
        <f aca="false">IF($B8=1,'Декомпозиция цикла'!$D$198+'Декомпозиция цикла'!$D$189,0)+IF($B8='Декомпозиция цикла'!$D$186,'Декомпозиция цикла'!$D$199,0)+IF($B8&lt;='Декомпозиция цикла'!$D$186,'Декомпозиция цикла'!$D$200,0)+'Декомпозиция цикла'!$D$183*C8</f>
        <v>1096.06582002379</v>
      </c>
      <c r="E8" s="66" t="n">
        <f aca="false">C8-D8</f>
        <v>-971.446606083281</v>
      </c>
      <c r="F8" s="67" t="n">
        <f aca="false">F7+E8</f>
        <v>-8482.91237504328</v>
      </c>
      <c r="H8" s="66" t="n">
        <f aca="false">IF($B8=1,'Декомпозиция цикла'!$E$149-'Декомпозиция цикла'!$E$152,0)+IF(AND($B8&gt;=2,$B8&lt;='Декомпозиция цикла'!$E$143),'Декомпозиция цикла'!$E$151,0)+IF($B8='Декомпозиция цикла'!$E$186,'Декомпозиция цикла'!$E$155-'Декомпозиция цикла'!$E$158,0)+IF(AND($B8&gt;='Декомпозиция цикла'!$E$186+1,$B8&lt;='Декомпозиция цикла'!$E$186+'Декомпозиция цикла'!$E$143-1),'Декомпозиция цикла'!$E$157,0)</f>
        <v>965.128652508297</v>
      </c>
      <c r="I8" s="66" t="n">
        <f aca="false">IF($B8=1,'Декомпозиция цикла'!$E$198+'Декомпозиция цикла'!$E$189,0)+IF($B8='Декомпозиция цикла'!$E$186,'Декомпозиция цикла'!$E$199,0)+IF($B8&lt;='Декомпозиция цикла'!$E$186,'Декомпозиция цикла'!$E$200,0)+'Декомпозиция цикла'!$E$183*H8</f>
        <v>1215.25964156089</v>
      </c>
      <c r="J8" s="66" t="n">
        <f aca="false">H8-I8</f>
        <v>-250.130989052589</v>
      </c>
      <c r="K8" s="67" t="n">
        <f aca="false">K7+J8</f>
        <v>-3591.02141114634</v>
      </c>
      <c r="M8" s="66" t="n">
        <f aca="false">IF($B8=1,'Декомпозиция цикла'!$F$149-'Декомпозиция цикла'!$F$152,0)+IF(AND($B8&gt;=2,$B8&lt;='Декомпозиция цикла'!$F$143),'Декомпозиция цикла'!$F$151,0)+IF($B8='Декомпозиция цикла'!$F$186,'Декомпозиция цикла'!$F$155-'Декомпозиция цикла'!$F$158,0)+IF(AND($B8&gt;='Декомпозиция цикла'!$F$186+1,$B8&lt;='Декомпозиция цикла'!$F$186+'Декомпозиция цикла'!$F$143-1),'Декомпозиция цикла'!$F$157,0)</f>
        <v>4500.79849949286</v>
      </c>
      <c r="N8" s="66" t="n">
        <f aca="false">IF($B8=1,'Декомпозиция цикла'!$F$198+'Декомпозиция цикла'!$F$189,0)+IF($B8='Декомпозиция цикла'!$F$186,'Декомпозиция цикла'!$F$199,0)+IF($B8&lt;='Декомпозиция цикла'!$F$186,'Декомпозиция цикла'!$F$200,0)+'Декомпозиция цикла'!$F$183*M8</f>
        <v>1760.39711300431</v>
      </c>
      <c r="O8" s="66" t="n">
        <f aca="false">M8-N8</f>
        <v>2740.40138648854</v>
      </c>
      <c r="P8" s="67" t="n">
        <f aca="false">P7+O8</f>
        <v>17231.3929464885</v>
      </c>
    </row>
    <row r="9" customFormat="false" ht="15" hidden="false" customHeight="false" outlineLevel="0" collapsed="false">
      <c r="B9" s="65" t="n">
        <v>4</v>
      </c>
      <c r="C9" s="66" t="n">
        <f aca="false">IF($B9=1,'Декомпозиция цикла'!$D$149-'Декомпозиция цикла'!$D$152,0)+IF(AND($B9&gt;=2,$B9&lt;='Декомпозиция цикла'!$D$143),'Декомпозиция цикла'!$D$151,0)+IF($B9='Декомпозиция цикла'!$D$186,'Декомпозиция цикла'!$D$155-'Декомпозиция цикла'!$D$158,0)+IF(AND($B9&gt;='Декомпозиция цикла'!$D$186+1,$B9&lt;='Декомпозиция цикла'!$D$186+'Декомпозиция цикла'!$D$143-1),'Декомпозиция цикла'!$D$157,0)</f>
        <v>57.1905917386862</v>
      </c>
      <c r="D9" s="66" t="n">
        <f aca="false">IF($B9=1,'Декомпозиция цикла'!$D$198+'Декомпозиция цикла'!$D$189,0)+IF($B9='Декомпозиция цикла'!$D$186,'Декомпозиция цикла'!$D$199,0)+IF($B9&lt;='Декомпозиция цикла'!$D$186,'Декомпозиция цикла'!$D$200,0)+'Декомпозиция цикла'!$D$183*C9</f>
        <v>2.28762366954745</v>
      </c>
      <c r="E9" s="66" t="n">
        <f aca="false">C9-D9</f>
        <v>54.9029680691387</v>
      </c>
      <c r="F9" s="67" t="n">
        <f aca="false">F8+E9</f>
        <v>-8428.00940697414</v>
      </c>
      <c r="H9" s="66" t="n">
        <f aca="false">IF($B9=1,'Декомпозиция цикла'!$E$149-'Декомпозиция цикла'!$E$152,0)+IF(AND($B9&gt;=2,$B9&lt;='Декомпозиция цикла'!$E$143),'Декомпозиция цикла'!$E$151,0)+IF($B9='Декомпозиция цикла'!$E$186,'Декомпозиция цикла'!$E$155-'Декомпозиция цикла'!$E$158,0)+IF(AND($B9&gt;='Декомпозиция цикла'!$E$186+1,$B9&lt;='Декомпозиция цикла'!$E$186+'Декомпозиция цикла'!$E$143-1),'Декомпозиция цикла'!$E$157,0)</f>
        <v>31.7595600407625</v>
      </c>
      <c r="I9" s="66" t="n">
        <f aca="false">IF($B9=1,'Декомпозиция цикла'!$E$198+'Декомпозиция цикла'!$E$189,0)+IF($B9='Декомпозиция цикла'!$E$186,'Декомпозиция цикла'!$E$199,0)+IF($B9&lt;='Декомпозиция цикла'!$E$186,'Декомпозиция цикла'!$E$200,0)+'Декомпозиция цикла'!$E$183*H9</f>
        <v>1.2703824016305</v>
      </c>
      <c r="J9" s="66" t="n">
        <f aca="false">H9-I9</f>
        <v>30.489177639132</v>
      </c>
      <c r="K9" s="67" t="n">
        <f aca="false">K8+J9</f>
        <v>-3560.53223350721</v>
      </c>
      <c r="M9" s="66" t="n">
        <f aca="false">IF($B9=1,'Декомпозиция цикла'!$F$149-'Декомпозиция цикла'!$F$152,0)+IF(AND($B9&gt;=2,$B9&lt;='Декомпозиция цикла'!$F$143),'Декомпозиция цикла'!$F$151,0)+IF($B9='Декомпозиция цикла'!$F$186,'Декомпозиция цикла'!$F$155-'Декомпозиция цикла'!$F$158,0)+IF(AND($B9&gt;='Декомпозиция цикла'!$F$186+1,$B9&lt;='Декомпозиция цикла'!$F$186+'Декомпозиция цикла'!$F$143-1),'Декомпозиция цикла'!$F$157,0)</f>
        <v>94.9756668686842</v>
      </c>
      <c r="N9" s="66" t="n">
        <f aca="false">IF($B9=1,'Декомпозиция цикла'!$F$198+'Декомпозиция цикла'!$F$189,0)+IF($B9='Декомпозиция цикла'!$F$186,'Декомпозиция цикла'!$F$199,0)+IF($B9&lt;='Декомпозиция цикла'!$F$186,'Декомпозиция цикла'!$F$200,0)+'Декомпозиция цикла'!$F$183*M9</f>
        <v>3.79902667474737</v>
      </c>
      <c r="O9" s="66" t="n">
        <f aca="false">M9-N9</f>
        <v>91.1766401939369</v>
      </c>
      <c r="P9" s="67" t="n">
        <f aca="false">P8+O9</f>
        <v>17322.5695866825</v>
      </c>
    </row>
    <row r="10" customFormat="false" ht="15" hidden="false" customHeight="false" outlineLevel="0" collapsed="false">
      <c r="B10" s="65" t="n">
        <v>5</v>
      </c>
      <c r="C10" s="66" t="n">
        <f aca="false">IF($B10=1,'Декомпозиция цикла'!$D$149-'Декомпозиция цикла'!$D$152,0)+IF(AND($B10&gt;=2,$B10&lt;='Декомпозиция цикла'!$D$143),'Декомпозиция цикла'!$D$151,0)+IF($B10='Декомпозиция цикла'!$D$186,'Декомпозиция цикла'!$D$155-'Декомпозиция цикла'!$D$158,0)+IF(AND($B10&gt;='Декомпозиция цикла'!$D$186+1,$B10&lt;='Декомпозиция цикла'!$D$186+'Декомпозиция цикла'!$D$143-1),'Декомпозиция цикла'!$D$157,0)</f>
        <v>3.38623973868616</v>
      </c>
      <c r="D10" s="66" t="n">
        <f aca="false">IF($B10=1,'Декомпозиция цикла'!$D$198+'Декомпозиция цикла'!$D$189,0)+IF($B10='Декомпозиция цикла'!$D$186,'Декомпозиция цикла'!$D$199,0)+IF($B10&lt;='Декомпозиция цикла'!$D$186,'Декомпозиция цикла'!$D$200,0)+'Декомпозиция цикла'!$D$183*C10</f>
        <v>0.135449589547447</v>
      </c>
      <c r="E10" s="66" t="n">
        <f aca="false">C10-D10</f>
        <v>3.25079014913872</v>
      </c>
      <c r="F10" s="67" t="n">
        <f aca="false">F9+E10</f>
        <v>-8424.758616825</v>
      </c>
      <c r="H10" s="66" t="n">
        <f aca="false">IF($B10=1,'Декомпозиция цикла'!$E$149-'Декомпозиция цикла'!$E$152,0)+IF(AND($B10&gt;=2,$B10&lt;='Декомпозиция цикла'!$E$143),'Декомпозиция цикла'!$E$151,0)+IF($B10='Декомпозиция цикла'!$E$186,'Декомпозиция цикла'!$E$155-'Декомпозиция цикла'!$E$158,0)+IF(AND($B10&gt;='Декомпозиция цикла'!$E$186+1,$B10&lt;='Декомпозиция цикла'!$E$186+'Декомпозиция цикла'!$E$143-1),'Декомпозиция цикла'!$E$157,0)</f>
        <v>31.7595600407625</v>
      </c>
      <c r="I10" s="66" t="n">
        <f aca="false">IF($B10=1,'Декомпозиция цикла'!$E$198+'Декомпозиция цикла'!$E$189,0)+IF($B10='Декомпозиция цикла'!$E$186,'Декомпозиция цикла'!$E$199,0)+IF($B10&lt;='Декомпозиция цикла'!$E$186,'Декомпозиция цикла'!$E$200,0)+'Декомпозиция цикла'!$E$183*H10</f>
        <v>1.2703824016305</v>
      </c>
      <c r="J10" s="66" t="n">
        <f aca="false">H10-I10</f>
        <v>30.489177639132</v>
      </c>
      <c r="K10" s="67" t="n">
        <f aca="false">K9+J10</f>
        <v>-3530.04305586807</v>
      </c>
      <c r="M10" s="66" t="n">
        <f aca="false">IF($B10=1,'Декомпозиция цикла'!$F$149-'Декомпозиция цикла'!$F$152,0)+IF(AND($B10&gt;=2,$B10&lt;='Декомпозиция цикла'!$F$143),'Декомпозиция цикла'!$F$151,0)+IF($B10='Декомпозиция цикла'!$F$186,'Декомпозиция цикла'!$F$155-'Декомпозиция цикла'!$F$158,0)+IF(AND($B10&gt;='Декомпозиция цикла'!$F$186+1,$B10&lt;='Декомпозиция цикла'!$F$186+'Декомпозиция цикла'!$F$143-1),'Декомпозиция цикла'!$F$157,0)</f>
        <v>94.9756668686842</v>
      </c>
      <c r="N10" s="66" t="n">
        <f aca="false">IF($B10=1,'Декомпозиция цикла'!$F$198+'Декомпозиция цикла'!$F$189,0)+IF($B10='Декомпозиция цикла'!$F$186,'Декомпозиция цикла'!$F$199,0)+IF($B10&lt;='Декомпозиция цикла'!$F$186,'Декомпозиция цикла'!$F$200,0)+'Декомпозиция цикла'!$F$183*M10</f>
        <v>3.79902667474737</v>
      </c>
      <c r="O10" s="66" t="n">
        <f aca="false">M10-N10</f>
        <v>91.1766401939369</v>
      </c>
      <c r="P10" s="67" t="n">
        <f aca="false">P9+O10</f>
        <v>17413.7462268764</v>
      </c>
    </row>
    <row r="11" customFormat="false" ht="15" hidden="false" customHeight="false" outlineLevel="0" collapsed="false">
      <c r="B11" s="65" t="n">
        <v>6</v>
      </c>
      <c r="C11" s="66" t="n">
        <f aca="false">IF($B11=1,'Декомпозиция цикла'!$D$149-'Декомпозиция цикла'!$D$152,0)+IF(AND($B11&gt;=2,$B11&lt;='Декомпозиция цикла'!$D$143),'Декомпозиция цикла'!$D$151,0)+IF($B11='Декомпозиция цикла'!$D$186,'Декомпозиция цикла'!$D$155-'Декомпозиция цикла'!$D$158,0)+IF(AND($B11&gt;='Декомпозиция цикла'!$D$186+1,$B11&lt;='Декомпозиция цикла'!$D$186+'Декомпозиция цикла'!$D$143-1),'Декомпозиция цикла'!$D$157,0)</f>
        <v>3.38623973868616</v>
      </c>
      <c r="D11" s="66" t="n">
        <f aca="false">IF($B11=1,'Декомпозиция цикла'!$D$198+'Декомпозиция цикла'!$D$189,0)+IF($B11='Декомпозиция цикла'!$D$186,'Декомпозиция цикла'!$D$199,0)+IF($B11&lt;='Декомпозиция цикла'!$D$186,'Декомпозиция цикла'!$D$200,0)+'Декомпозиция цикла'!$D$183*C11</f>
        <v>0.135449589547447</v>
      </c>
      <c r="E11" s="66" t="n">
        <f aca="false">C11-D11</f>
        <v>3.25079014913872</v>
      </c>
      <c r="F11" s="67" t="n">
        <f aca="false">F10+E11</f>
        <v>-8421.50782667587</v>
      </c>
      <c r="H11" s="66" t="n">
        <f aca="false">IF($B11=1,'Декомпозиция цикла'!$E$149-'Декомпозиция цикла'!$E$152,0)+IF(AND($B11&gt;=2,$B11&lt;='Декомпозиция цикла'!$E$143),'Декомпозиция цикла'!$E$151,0)+IF($B11='Декомпозиция цикла'!$E$186,'Декомпозиция цикла'!$E$155-'Декомпозиция цикла'!$E$158,0)+IF(AND($B11&gt;='Декомпозиция цикла'!$E$186+1,$B11&lt;='Декомпозиция цикла'!$E$186+'Декомпозиция цикла'!$E$143-1),'Декомпозиция цикла'!$E$157,0)</f>
        <v>0</v>
      </c>
      <c r="I11" s="66" t="n">
        <f aca="false">IF($B11=1,'Декомпозиция цикла'!$E$198+'Декомпозиция цикла'!$E$189,0)+IF($B11='Декомпозиция цикла'!$E$186,'Декомпозиция цикла'!$E$199,0)+IF($B11&lt;='Декомпозиция цикла'!$E$186,'Декомпозиция цикла'!$E$200,0)+'Декомпозиция цикла'!$E$183*H11</f>
        <v>0</v>
      </c>
      <c r="J11" s="66" t="n">
        <f aca="false">H11-I11</f>
        <v>0</v>
      </c>
      <c r="K11" s="67" t="n">
        <f aca="false">K10+J11</f>
        <v>-3530.04305586807</v>
      </c>
      <c r="M11" s="66" t="n">
        <f aca="false">IF($B11=1,'Декомпозиция цикла'!$F$149-'Декомпозиция цикла'!$F$152,0)+IF(AND($B11&gt;=2,$B11&lt;='Декомпозиция цикла'!$F$143),'Декомпозиция цикла'!$F$151,0)+IF($B11='Декомпозиция цикла'!$F$186,'Декомпозиция цикла'!$F$155-'Декомпозиция цикла'!$F$158,0)+IF(AND($B11&gt;='Декомпозиция цикла'!$F$186+1,$B11&lt;='Декомпозиция цикла'!$F$186+'Декомпозиция цикла'!$F$143-1),'Декомпозиция цикла'!$F$157,0)</f>
        <v>0</v>
      </c>
      <c r="N11" s="66" t="n">
        <f aca="false">IF($B11=1,'Декомпозиция цикла'!$F$198+'Декомпозиция цикла'!$F$189,0)+IF($B11='Декомпозиция цикла'!$F$186,'Декомпозиция цикла'!$F$199,0)+IF($B11&lt;='Декомпозиция цикла'!$F$186,'Декомпозиция цикла'!$F$200,0)+'Декомпозиция цикла'!$F$183*M11</f>
        <v>0</v>
      </c>
      <c r="O11" s="66" t="n">
        <f aca="false">M11-N11</f>
        <v>0</v>
      </c>
      <c r="P11" s="67" t="n">
        <f aca="false">P10+O11</f>
        <v>17413.7462268764</v>
      </c>
    </row>
    <row r="12" customFormat="false" ht="15" hidden="false" customHeight="false" outlineLevel="0" collapsed="false">
      <c r="B12" s="65" t="n">
        <v>7</v>
      </c>
      <c r="C12" s="66" t="n">
        <f aca="false">IF($B12=1,'Декомпозиция цикла'!$D$149-'Декомпозиция цикла'!$D$152,0)+IF(AND($B12&gt;=2,$B12&lt;='Декомпозиция цикла'!$D$143),'Декомпозиция цикла'!$D$151,0)+IF($B12='Декомпозиция цикла'!$D$186,'Декомпозиция цикла'!$D$155-'Декомпозиция цикла'!$D$158,0)+IF(AND($B12&gt;='Декомпозиция цикла'!$D$186+1,$B12&lt;='Декомпозиция цикла'!$D$186+'Декомпозиция цикла'!$D$143-1),'Декомпозиция цикла'!$D$157,0)</f>
        <v>0</v>
      </c>
      <c r="D12" s="66" t="n">
        <f aca="false">IF($B12=1,'Декомпозиция цикла'!$D$198+'Декомпозиция цикла'!$D$189,0)+IF($B12='Декомпозиция цикла'!$D$186,'Декомпозиция цикла'!$D$199,0)+IF($B12&lt;='Декомпозиция цикла'!$D$186,'Декомпозиция цикла'!$D$200,0)+'Декомпозиция цикла'!$D$183*C12</f>
        <v>0</v>
      </c>
      <c r="E12" s="66" t="n">
        <f aca="false">C12-D12</f>
        <v>0</v>
      </c>
      <c r="F12" s="67" t="n">
        <f aca="false">F11+E12</f>
        <v>-8421.50782667587</v>
      </c>
      <c r="H12" s="66" t="n">
        <f aca="false">IF($B12=1,'Декомпозиция цикла'!$E$149-'Декомпозиция цикла'!$E$152,0)+IF(AND($B12&gt;=2,$B12&lt;='Декомпозиция цикла'!$E$143),'Декомпозиция цикла'!$E$151,0)+IF($B12='Декомпозиция цикла'!$E$186,'Декомпозиция цикла'!$E$155-'Декомпозиция цикла'!$E$158,0)+IF(AND($B12&gt;='Декомпозиция цикла'!$E$186+1,$B12&lt;='Декомпозиция цикла'!$E$186+'Декомпозиция цикла'!$E$143-1),'Декомпозиция цикла'!$E$157,0)</f>
        <v>0</v>
      </c>
      <c r="I12" s="66" t="n">
        <f aca="false">IF($B12=1,'Декомпозиция цикла'!$E$198+'Декомпозиция цикла'!$E$189,0)+IF($B12='Декомпозиция цикла'!$E$186,'Декомпозиция цикла'!$E$199,0)+IF($B12&lt;='Декомпозиция цикла'!$E$186,'Декомпозиция цикла'!$E$200,0)+'Декомпозиция цикла'!$E$183*H12</f>
        <v>0</v>
      </c>
      <c r="J12" s="66" t="n">
        <f aca="false">H12-I12</f>
        <v>0</v>
      </c>
      <c r="K12" s="67" t="n">
        <f aca="false">K11+J12</f>
        <v>-3530.04305586807</v>
      </c>
      <c r="M12" s="66" t="n">
        <f aca="false">IF($B12=1,'Декомпозиция цикла'!$F$149-'Декомпозиция цикла'!$F$152,0)+IF(AND($B12&gt;=2,$B12&lt;='Декомпозиция цикла'!$F$143),'Декомпозиция цикла'!$F$151,0)+IF($B12='Декомпозиция цикла'!$F$186,'Декомпозиция цикла'!$F$155-'Декомпозиция цикла'!$F$158,0)+IF(AND($B12&gt;='Декомпозиция цикла'!$F$186+1,$B12&lt;='Декомпозиция цикла'!$F$186+'Декомпозиция цикла'!$F$143-1),'Декомпозиция цикла'!$F$157,0)</f>
        <v>0</v>
      </c>
      <c r="N12" s="66" t="n">
        <f aca="false">IF($B12=1,'Декомпозиция цикла'!$F$198+'Декомпозиция цикла'!$F$189,0)+IF($B12='Декомпозиция цикла'!$F$186,'Декомпозиция цикла'!$F$199,0)+IF($B12&lt;='Декомпозиция цикла'!$F$186,'Декомпозиция цикла'!$F$200,0)+'Декомпозиция цикла'!$F$183*M12</f>
        <v>0</v>
      </c>
      <c r="O12" s="66" t="n">
        <f aca="false">M12-N12</f>
        <v>0</v>
      </c>
      <c r="P12" s="67" t="n">
        <f aca="false">P11+O12</f>
        <v>17413.7462268764</v>
      </c>
    </row>
    <row r="13" customFormat="false" ht="15" hidden="false" customHeight="false" outlineLevel="0" collapsed="false">
      <c r="B13" s="65" t="n">
        <v>8</v>
      </c>
      <c r="C13" s="66" t="n">
        <f aca="false">IF($B13=1,'Декомпозиция цикла'!$D$149-'Декомпозиция цикла'!$D$152,0)+IF(AND($B13&gt;=2,$B13&lt;='Декомпозиция цикла'!$D$143),'Декомпозиция цикла'!$D$151,0)+IF($B13='Декомпозиция цикла'!$D$186,'Декомпозиция цикла'!$D$155-'Декомпозиция цикла'!$D$158,0)+IF(AND($B13&gt;='Декомпозиция цикла'!$D$186+1,$B13&lt;='Декомпозиция цикла'!$D$186+'Декомпозиция цикла'!$D$143-1),'Декомпозиция цикла'!$D$157,0)</f>
        <v>0</v>
      </c>
      <c r="D13" s="66" t="n">
        <f aca="false">IF($B13=1,'Декомпозиция цикла'!$D$198+'Декомпозиция цикла'!$D$189,0)+IF($B13='Декомпозиция цикла'!$D$186,'Декомпозиция цикла'!$D$199,0)+IF($B13&lt;='Декомпозиция цикла'!$D$186,'Декомпозиция цикла'!$D$200,0)+'Декомпозиция цикла'!$D$183*C13</f>
        <v>0</v>
      </c>
      <c r="E13" s="66" t="n">
        <f aca="false">C13-D13</f>
        <v>0</v>
      </c>
      <c r="F13" s="67" t="n">
        <f aca="false">F12+E13</f>
        <v>-8421.50782667587</v>
      </c>
      <c r="H13" s="66" t="n">
        <f aca="false">IF($B13=1,'Декомпозиция цикла'!$E$149-'Декомпозиция цикла'!$E$152,0)+IF(AND($B13&gt;=2,$B13&lt;='Декомпозиция цикла'!$E$143),'Декомпозиция цикла'!$E$151,0)+IF($B13='Декомпозиция цикла'!$E$186,'Декомпозиция цикла'!$E$155-'Декомпозиция цикла'!$E$158,0)+IF(AND($B13&gt;='Декомпозиция цикла'!$E$186+1,$B13&lt;='Декомпозиция цикла'!$E$186+'Декомпозиция цикла'!$E$143-1),'Декомпозиция цикла'!$E$157,0)</f>
        <v>0</v>
      </c>
      <c r="I13" s="66" t="n">
        <f aca="false">IF($B13=1,'Декомпозиция цикла'!$E$198+'Декомпозиция цикла'!$E$189,0)+IF($B13='Декомпозиция цикла'!$E$186,'Декомпозиция цикла'!$E$199,0)+IF($B13&lt;='Декомпозиция цикла'!$E$186,'Декомпозиция цикла'!$E$200,0)+'Декомпозиция цикла'!$E$183*H13</f>
        <v>0</v>
      </c>
      <c r="J13" s="66" t="n">
        <f aca="false">H13-I13</f>
        <v>0</v>
      </c>
      <c r="K13" s="67" t="n">
        <f aca="false">K12+J13</f>
        <v>-3530.04305586807</v>
      </c>
      <c r="M13" s="66" t="n">
        <f aca="false">IF($B13=1,'Декомпозиция цикла'!$F$149-'Декомпозиция цикла'!$F$152,0)+IF(AND($B13&gt;=2,$B13&lt;='Декомпозиция цикла'!$F$143),'Декомпозиция цикла'!$F$151,0)+IF($B13='Декомпозиция цикла'!$F$186,'Декомпозиция цикла'!$F$155-'Декомпозиция цикла'!$F$158,0)+IF(AND($B13&gt;='Декомпозиция цикла'!$F$186+1,$B13&lt;='Декомпозиция цикла'!$F$186+'Декомпозиция цикла'!$F$143-1),'Декомпозиция цикла'!$F$157,0)</f>
        <v>0</v>
      </c>
      <c r="N13" s="66" t="n">
        <f aca="false">IF($B13=1,'Декомпозиция цикла'!$F$198+'Декомпозиция цикла'!$F$189,0)+IF($B13='Декомпозиция цикла'!$F$186,'Декомпозиция цикла'!$F$199,0)+IF($B13&lt;='Декомпозиция цикла'!$F$186,'Декомпозиция цикла'!$F$200,0)+'Декомпозиция цикла'!$F$183*M13</f>
        <v>0</v>
      </c>
      <c r="O13" s="66" t="n">
        <f aca="false">M13-N13</f>
        <v>0</v>
      </c>
      <c r="P13" s="67" t="n">
        <f aca="false">P12+O13</f>
        <v>17413.7462268764</v>
      </c>
    </row>
    <row r="14" customFormat="false" ht="15" hidden="false" customHeight="false" outlineLevel="0" collapsed="false">
      <c r="B14" s="65" t="n">
        <v>9</v>
      </c>
      <c r="C14" s="66" t="n">
        <f aca="false">IF($B14=1,'Декомпозиция цикла'!$D$149-'Декомпозиция цикла'!$D$152,0)+IF(AND($B14&gt;=2,$B14&lt;='Декомпозиция цикла'!$D$143),'Декомпозиция цикла'!$D$151,0)+IF($B14='Декомпозиция цикла'!$D$186,'Декомпозиция цикла'!$D$155-'Декомпозиция цикла'!$D$158,0)+IF(AND($B14&gt;='Декомпозиция цикла'!$D$186+1,$B14&lt;='Декомпозиция цикла'!$D$186+'Декомпозиция цикла'!$D$143-1),'Декомпозиция цикла'!$D$157,0)</f>
        <v>0</v>
      </c>
      <c r="D14" s="66" t="n">
        <f aca="false">IF($B14=1,'Декомпозиция цикла'!$D$198+'Декомпозиция цикла'!$D$189,0)+IF($B14='Декомпозиция цикла'!$D$186,'Декомпозиция цикла'!$D$199,0)+IF($B14&lt;='Декомпозиция цикла'!$D$186,'Декомпозиция цикла'!$D$200,0)+'Декомпозиция цикла'!$D$183*C14</f>
        <v>0</v>
      </c>
      <c r="E14" s="66" t="n">
        <f aca="false">C14-D14</f>
        <v>0</v>
      </c>
      <c r="F14" s="67" t="n">
        <f aca="false">F13+E14</f>
        <v>-8421.50782667587</v>
      </c>
      <c r="H14" s="66" t="n">
        <f aca="false">IF($B14=1,'Декомпозиция цикла'!$E$149-'Декомпозиция цикла'!$E$152,0)+IF(AND($B14&gt;=2,$B14&lt;='Декомпозиция цикла'!$E$143),'Декомпозиция цикла'!$E$151,0)+IF($B14='Декомпозиция цикла'!$E$186,'Декомпозиция цикла'!$E$155-'Декомпозиция цикла'!$E$158,0)+IF(AND($B14&gt;='Декомпозиция цикла'!$E$186+1,$B14&lt;='Декомпозиция цикла'!$E$186+'Декомпозиция цикла'!$E$143-1),'Декомпозиция цикла'!$E$157,0)</f>
        <v>0</v>
      </c>
      <c r="I14" s="66" t="n">
        <f aca="false">IF($B14=1,'Декомпозиция цикла'!$E$198+'Декомпозиция цикла'!$E$189,0)+IF($B14='Декомпозиция цикла'!$E$186,'Декомпозиция цикла'!$E$199,0)+IF($B14&lt;='Декомпозиция цикла'!$E$186,'Декомпозиция цикла'!$E$200,0)+'Декомпозиция цикла'!$E$183*H14</f>
        <v>0</v>
      </c>
      <c r="J14" s="66" t="n">
        <f aca="false">H14-I14</f>
        <v>0</v>
      </c>
      <c r="K14" s="67" t="n">
        <f aca="false">K13+J14</f>
        <v>-3530.04305586807</v>
      </c>
      <c r="M14" s="66" t="n">
        <f aca="false">IF($B14=1,'Декомпозиция цикла'!$F$149-'Декомпозиция цикла'!$F$152,0)+IF(AND($B14&gt;=2,$B14&lt;='Декомпозиция цикла'!$F$143),'Декомпозиция цикла'!$F$151,0)+IF($B14='Декомпозиция цикла'!$F$186,'Декомпозиция цикла'!$F$155-'Декомпозиция цикла'!$F$158,0)+IF(AND($B14&gt;='Декомпозиция цикла'!$F$186+1,$B14&lt;='Декомпозиция цикла'!$F$186+'Декомпозиция цикла'!$F$143-1),'Декомпозиция цикла'!$F$157,0)</f>
        <v>0</v>
      </c>
      <c r="N14" s="66" t="n">
        <f aca="false">IF($B14=1,'Декомпозиция цикла'!$F$198+'Декомпозиция цикла'!$F$189,0)+IF($B14='Декомпозиция цикла'!$F$186,'Декомпозиция цикла'!$F$199,0)+IF($B14&lt;='Декомпозиция цикла'!$F$186,'Декомпозиция цикла'!$F$200,0)+'Декомпозиция цикла'!$F$183*M14</f>
        <v>0</v>
      </c>
      <c r="O14" s="66" t="n">
        <f aca="false">M14-N14</f>
        <v>0</v>
      </c>
      <c r="P14" s="67" t="n">
        <f aca="false">P13+O14</f>
        <v>17413.7462268764</v>
      </c>
    </row>
    <row r="15" customFormat="false" ht="15" hidden="false" customHeight="false" outlineLevel="0" collapsed="false">
      <c r="B15" s="65" t="n">
        <v>10</v>
      </c>
      <c r="C15" s="66" t="n">
        <f aca="false">IF($B15=1,'Декомпозиция цикла'!$D$149-'Декомпозиция цикла'!$D$152,0)+IF(AND($B15&gt;=2,$B15&lt;='Декомпозиция цикла'!$D$143),'Декомпозиция цикла'!$D$151,0)+IF($B15='Декомпозиция цикла'!$D$186,'Декомпозиция цикла'!$D$155-'Декомпозиция цикла'!$D$158,0)+IF(AND($B15&gt;='Декомпозиция цикла'!$D$186+1,$B15&lt;='Декомпозиция цикла'!$D$186+'Декомпозиция цикла'!$D$143-1),'Декомпозиция цикла'!$D$157,0)</f>
        <v>0</v>
      </c>
      <c r="D15" s="66" t="n">
        <f aca="false">IF($B15=1,'Декомпозиция цикла'!$D$198+'Декомпозиция цикла'!$D$189,0)+IF($B15='Декомпозиция цикла'!$D$186,'Декомпозиция цикла'!$D$199,0)+IF($B15&lt;='Декомпозиция цикла'!$D$186,'Декомпозиция цикла'!$D$200,0)+'Декомпозиция цикла'!$D$183*C15</f>
        <v>0</v>
      </c>
      <c r="E15" s="66" t="n">
        <f aca="false">C15-D15</f>
        <v>0</v>
      </c>
      <c r="F15" s="67" t="n">
        <f aca="false">F14+E15</f>
        <v>-8421.50782667587</v>
      </c>
      <c r="H15" s="66" t="n">
        <f aca="false">IF($B15=1,'Декомпозиция цикла'!$E$149-'Декомпозиция цикла'!$E$152,0)+IF(AND($B15&gt;=2,$B15&lt;='Декомпозиция цикла'!$E$143),'Декомпозиция цикла'!$E$151,0)+IF($B15='Декомпозиция цикла'!$E$186,'Декомпозиция цикла'!$E$155-'Декомпозиция цикла'!$E$158,0)+IF(AND($B15&gt;='Декомпозиция цикла'!$E$186+1,$B15&lt;='Декомпозиция цикла'!$E$186+'Декомпозиция цикла'!$E$143-1),'Декомпозиция цикла'!$E$157,0)</f>
        <v>0</v>
      </c>
      <c r="I15" s="66" t="n">
        <f aca="false">IF($B15=1,'Декомпозиция цикла'!$E$198+'Декомпозиция цикла'!$E$189,0)+IF($B15='Декомпозиция цикла'!$E$186,'Декомпозиция цикла'!$E$199,0)+IF($B15&lt;='Декомпозиция цикла'!$E$186,'Декомпозиция цикла'!$E$200,0)+'Декомпозиция цикла'!$E$183*H15</f>
        <v>0</v>
      </c>
      <c r="J15" s="66" t="n">
        <f aca="false">H15-I15</f>
        <v>0</v>
      </c>
      <c r="K15" s="67" t="n">
        <f aca="false">K14+J15</f>
        <v>-3530.04305586807</v>
      </c>
      <c r="M15" s="66" t="n">
        <f aca="false">IF($B15=1,'Декомпозиция цикла'!$F$149-'Декомпозиция цикла'!$F$152,0)+IF(AND($B15&gt;=2,$B15&lt;='Декомпозиция цикла'!$F$143),'Декомпозиция цикла'!$F$151,0)+IF($B15='Декомпозиция цикла'!$F$186,'Декомпозиция цикла'!$F$155-'Декомпозиция цикла'!$F$158,0)+IF(AND($B15&gt;='Декомпозиция цикла'!$F$186+1,$B15&lt;='Декомпозиция цикла'!$F$186+'Декомпозиция цикла'!$F$143-1),'Декомпозиция цикла'!$F$157,0)</f>
        <v>0</v>
      </c>
      <c r="N15" s="66" t="n">
        <f aca="false">IF($B15=1,'Декомпозиция цикла'!$F$198+'Декомпозиция цикла'!$F$189,0)+IF($B15='Декомпозиция цикла'!$F$186,'Декомпозиция цикла'!$F$199,0)+IF($B15&lt;='Декомпозиция цикла'!$F$186,'Декомпозиция цикла'!$F$200,0)+'Декомпозиция цикла'!$F$183*M15</f>
        <v>0</v>
      </c>
      <c r="O15" s="66" t="n">
        <f aca="false">M15-N15</f>
        <v>0</v>
      </c>
      <c r="P15" s="67" t="n">
        <f aca="false">P14+O15</f>
        <v>17413.7462268764</v>
      </c>
    </row>
    <row r="16" customFormat="false" ht="15" hidden="false" customHeight="false" outlineLevel="0" collapsed="false">
      <c r="B16" s="65" t="n">
        <v>11</v>
      </c>
      <c r="C16" s="66" t="n">
        <f aca="false">IF($B16=1,'Декомпозиция цикла'!$D$149-'Декомпозиция цикла'!$D$152,0)+IF(AND($B16&gt;=2,$B16&lt;='Декомпозиция цикла'!$D$143),'Декомпозиция цикла'!$D$151,0)+IF($B16='Декомпозиция цикла'!$D$186,'Декомпозиция цикла'!$D$155-'Декомпозиция цикла'!$D$158,0)+IF(AND($B16&gt;='Декомпозиция цикла'!$D$186+1,$B16&lt;='Декомпозиция цикла'!$D$186+'Декомпозиция цикла'!$D$143-1),'Декомпозиция цикла'!$D$157,0)</f>
        <v>0</v>
      </c>
      <c r="D16" s="66" t="n">
        <f aca="false">IF($B16=1,'Декомпозиция цикла'!$D$198+'Декомпозиция цикла'!$D$189,0)+IF($B16='Декомпозиция цикла'!$D$186,'Декомпозиция цикла'!$D$199,0)+IF($B16&lt;='Декомпозиция цикла'!$D$186,'Декомпозиция цикла'!$D$200,0)+'Декомпозиция цикла'!$D$183*C16</f>
        <v>0</v>
      </c>
      <c r="E16" s="66" t="n">
        <f aca="false">C16-D16</f>
        <v>0</v>
      </c>
      <c r="F16" s="67" t="n">
        <f aca="false">F15+E16</f>
        <v>-8421.50782667587</v>
      </c>
      <c r="H16" s="66" t="n">
        <f aca="false">IF($B16=1,'Декомпозиция цикла'!$E$149-'Декомпозиция цикла'!$E$152,0)+IF(AND($B16&gt;=2,$B16&lt;='Декомпозиция цикла'!$E$143),'Декомпозиция цикла'!$E$151,0)+IF($B16='Декомпозиция цикла'!$E$186,'Декомпозиция цикла'!$E$155-'Декомпозиция цикла'!$E$158,0)+IF(AND($B16&gt;='Декомпозиция цикла'!$E$186+1,$B16&lt;='Декомпозиция цикла'!$E$186+'Декомпозиция цикла'!$E$143-1),'Декомпозиция цикла'!$E$157,0)</f>
        <v>0</v>
      </c>
      <c r="I16" s="66" t="n">
        <f aca="false">IF($B16=1,'Декомпозиция цикла'!$E$198+'Декомпозиция цикла'!$E$189,0)+IF($B16='Декомпозиция цикла'!$E$186,'Декомпозиция цикла'!$E$199,0)+IF($B16&lt;='Декомпозиция цикла'!$E$186,'Декомпозиция цикла'!$E$200,0)+'Декомпозиция цикла'!$E$183*H16</f>
        <v>0</v>
      </c>
      <c r="J16" s="66" t="n">
        <f aca="false">H16-I16</f>
        <v>0</v>
      </c>
      <c r="K16" s="67" t="n">
        <f aca="false">K15+J16</f>
        <v>-3530.04305586807</v>
      </c>
      <c r="M16" s="66" t="n">
        <f aca="false">IF($B16=1,'Декомпозиция цикла'!$F$149-'Декомпозиция цикла'!$F$152,0)+IF(AND($B16&gt;=2,$B16&lt;='Декомпозиция цикла'!$F$143),'Декомпозиция цикла'!$F$151,0)+IF($B16='Декомпозиция цикла'!$F$186,'Декомпозиция цикла'!$F$155-'Декомпозиция цикла'!$F$158,0)+IF(AND($B16&gt;='Декомпозиция цикла'!$F$186+1,$B16&lt;='Декомпозиция цикла'!$F$186+'Декомпозиция цикла'!$F$143-1),'Декомпозиция цикла'!$F$157,0)</f>
        <v>0</v>
      </c>
      <c r="N16" s="66" t="n">
        <f aca="false">IF($B16=1,'Декомпозиция цикла'!$F$198+'Декомпозиция цикла'!$F$189,0)+IF($B16='Декомпозиция цикла'!$F$186,'Декомпозиция цикла'!$F$199,0)+IF($B16&lt;='Декомпозиция цикла'!$F$186,'Декомпозиция цикла'!$F$200,0)+'Декомпозиция цикла'!$F$183*M16</f>
        <v>0</v>
      </c>
      <c r="O16" s="66" t="n">
        <f aca="false">M16-N16</f>
        <v>0</v>
      </c>
      <c r="P16" s="67" t="n">
        <f aca="false">P15+O16</f>
        <v>17413.7462268764</v>
      </c>
    </row>
    <row r="17" customFormat="false" ht="15" hidden="false" customHeight="false" outlineLevel="0" collapsed="false">
      <c r="B17" s="65" t="n">
        <v>12</v>
      </c>
      <c r="C17" s="66" t="n">
        <f aca="false">IF($B17=1,'Декомпозиция цикла'!$D$149-'Декомпозиция цикла'!$D$152,0)+IF(AND($B17&gt;=2,$B17&lt;='Декомпозиция цикла'!$D$143),'Декомпозиция цикла'!$D$151,0)+IF($B17='Декомпозиция цикла'!$D$186,'Декомпозиция цикла'!$D$155-'Декомпозиция цикла'!$D$158,0)+IF(AND($B17&gt;='Декомпозиция цикла'!$D$186+1,$B17&lt;='Декомпозиция цикла'!$D$186+'Декомпозиция цикла'!$D$143-1),'Декомпозиция цикла'!$D$157,0)</f>
        <v>0</v>
      </c>
      <c r="D17" s="66" t="n">
        <f aca="false">IF($B17=1,'Декомпозиция цикла'!$D$198+'Декомпозиция цикла'!$D$189,0)+IF($B17='Декомпозиция цикла'!$D$186,'Декомпозиция цикла'!$D$199,0)+IF($B17&lt;='Декомпозиция цикла'!$D$186,'Декомпозиция цикла'!$D$200,0)+'Декомпозиция цикла'!$D$183*C17</f>
        <v>0</v>
      </c>
      <c r="E17" s="66" t="n">
        <f aca="false">C17-D17</f>
        <v>0</v>
      </c>
      <c r="F17" s="67" t="n">
        <f aca="false">F16+E17</f>
        <v>-8421.50782667587</v>
      </c>
      <c r="H17" s="66" t="n">
        <f aca="false">IF($B17=1,'Декомпозиция цикла'!$E$149-'Декомпозиция цикла'!$E$152,0)+IF(AND($B17&gt;=2,$B17&lt;='Декомпозиция цикла'!$E$143),'Декомпозиция цикла'!$E$151,0)+IF($B17='Декомпозиция цикла'!$E$186,'Декомпозиция цикла'!$E$155-'Декомпозиция цикла'!$E$158,0)+IF(AND($B17&gt;='Декомпозиция цикла'!$E$186+1,$B17&lt;='Декомпозиция цикла'!$E$186+'Декомпозиция цикла'!$E$143-1),'Декомпозиция цикла'!$E$157,0)</f>
        <v>0</v>
      </c>
      <c r="I17" s="66" t="n">
        <f aca="false">IF($B17=1,'Декомпозиция цикла'!$E$198+'Декомпозиция цикла'!$E$189,0)+IF($B17='Декомпозиция цикла'!$E$186,'Декомпозиция цикла'!$E$199,0)+IF($B17&lt;='Декомпозиция цикла'!$E$186,'Декомпозиция цикла'!$E$200,0)+'Декомпозиция цикла'!$E$183*H17</f>
        <v>0</v>
      </c>
      <c r="J17" s="66" t="n">
        <f aca="false">H17-I17</f>
        <v>0</v>
      </c>
      <c r="K17" s="67" t="n">
        <f aca="false">K16+J17</f>
        <v>-3530.04305586807</v>
      </c>
      <c r="M17" s="66" t="n">
        <f aca="false">IF($B17=1,'Декомпозиция цикла'!$F$149-'Декомпозиция цикла'!$F$152,0)+IF(AND($B17&gt;=2,$B17&lt;='Декомпозиция цикла'!$F$143),'Декомпозиция цикла'!$F$151,0)+IF($B17='Декомпозиция цикла'!$F$186,'Декомпозиция цикла'!$F$155-'Декомпозиция цикла'!$F$158,0)+IF(AND($B17&gt;='Декомпозиция цикла'!$F$186+1,$B17&lt;='Декомпозиция цикла'!$F$186+'Декомпозиция цикла'!$F$143-1),'Декомпозиция цикла'!$F$157,0)</f>
        <v>0</v>
      </c>
      <c r="N17" s="66" t="n">
        <f aca="false">IF($B17=1,'Декомпозиция цикла'!$F$198+'Декомпозиция цикла'!$F$189,0)+IF($B17='Декомпозиция цикла'!$F$186,'Декомпозиция цикла'!$F$199,0)+IF($B17&lt;='Декомпозиция цикла'!$F$186,'Декомпозиция цикла'!$F$200,0)+'Декомпозиция цикла'!$F$183*M17</f>
        <v>0</v>
      </c>
      <c r="O17" s="66" t="n">
        <f aca="false">M17-N17</f>
        <v>0</v>
      </c>
      <c r="P17" s="67" t="n">
        <f aca="false">P16+O17</f>
        <v>17413.7462268764</v>
      </c>
    </row>
    <row r="18" customFormat="false" ht="15" hidden="false" customHeight="false" outlineLevel="0" collapsed="false">
      <c r="B18" s="65" t="n">
        <v>13</v>
      </c>
      <c r="C18" s="66" t="n">
        <f aca="false">IF($B18=1,'Декомпозиция цикла'!$D$149-'Декомпозиция цикла'!$D$152,0)+IF(AND($B18&gt;=2,$B18&lt;='Декомпозиция цикла'!$D$143),'Декомпозиция цикла'!$D$151,0)+IF($B18='Декомпозиция цикла'!$D$186,'Декомпозиция цикла'!$D$155-'Декомпозиция цикла'!$D$158,0)+IF(AND($B18&gt;='Декомпозиция цикла'!$D$186+1,$B18&lt;='Декомпозиция цикла'!$D$186+'Декомпозиция цикла'!$D$143-1),'Декомпозиция цикла'!$D$157,0)</f>
        <v>0</v>
      </c>
      <c r="D18" s="66" t="n">
        <f aca="false">IF($B18=1,'Декомпозиция цикла'!$D$198+'Декомпозиция цикла'!$D$189,0)+IF($B18='Декомпозиция цикла'!$D$186,'Декомпозиция цикла'!$D$199,0)+IF($B18&lt;='Декомпозиция цикла'!$D$186,'Декомпозиция цикла'!$D$200,0)+'Декомпозиция цикла'!$D$183*C18</f>
        <v>0</v>
      </c>
      <c r="E18" s="66" t="n">
        <f aca="false">C18-D18</f>
        <v>0</v>
      </c>
      <c r="F18" s="67" t="n">
        <f aca="false">F17+E18</f>
        <v>-8421.50782667587</v>
      </c>
      <c r="H18" s="66" t="n">
        <f aca="false">IF($B18=1,'Декомпозиция цикла'!$E$149-'Декомпозиция цикла'!$E$152,0)+IF(AND($B18&gt;=2,$B18&lt;='Декомпозиция цикла'!$E$143),'Декомпозиция цикла'!$E$151,0)+IF($B18='Декомпозиция цикла'!$E$186,'Декомпозиция цикла'!$E$155-'Декомпозиция цикла'!$E$158,0)+IF(AND($B18&gt;='Декомпозиция цикла'!$E$186+1,$B18&lt;='Декомпозиция цикла'!$E$186+'Декомпозиция цикла'!$E$143-1),'Декомпозиция цикла'!$E$157,0)</f>
        <v>0</v>
      </c>
      <c r="I18" s="66" t="n">
        <f aca="false">IF($B18=1,'Декомпозиция цикла'!$E$198+'Декомпозиция цикла'!$E$189,0)+IF($B18='Декомпозиция цикла'!$E$186,'Декомпозиция цикла'!$E$199,0)+IF($B18&lt;='Декомпозиция цикла'!$E$186,'Декомпозиция цикла'!$E$200,0)+'Декомпозиция цикла'!$E$183*H18</f>
        <v>0</v>
      </c>
      <c r="J18" s="66" t="n">
        <f aca="false">H18-I18</f>
        <v>0</v>
      </c>
      <c r="K18" s="67" t="n">
        <f aca="false">K17+J18</f>
        <v>-3530.04305586807</v>
      </c>
      <c r="M18" s="66" t="n">
        <f aca="false">IF($B18=1,'Декомпозиция цикла'!$F$149-'Декомпозиция цикла'!$F$152,0)+IF(AND($B18&gt;=2,$B18&lt;='Декомпозиция цикла'!$F$143),'Декомпозиция цикла'!$F$151,0)+IF($B18='Декомпозиция цикла'!$F$186,'Декомпозиция цикла'!$F$155-'Декомпозиция цикла'!$F$158,0)+IF(AND($B18&gt;='Декомпозиция цикла'!$F$186+1,$B18&lt;='Декомпозиция цикла'!$F$186+'Декомпозиция цикла'!$F$143-1),'Декомпозиция цикла'!$F$157,0)</f>
        <v>0</v>
      </c>
      <c r="N18" s="66" t="n">
        <f aca="false">IF($B18=1,'Декомпозиция цикла'!$F$198+'Декомпозиция цикла'!$F$189,0)+IF($B18='Декомпозиция цикла'!$F$186,'Декомпозиция цикла'!$F$199,0)+IF($B18&lt;='Декомпозиция цикла'!$F$186,'Декомпозиция цикла'!$F$200,0)+'Декомпозиция цикла'!$F$183*M18</f>
        <v>0</v>
      </c>
      <c r="O18" s="66" t="n">
        <f aca="false">M18-N18</f>
        <v>0</v>
      </c>
      <c r="P18" s="67" t="n">
        <f aca="false">P17+O18</f>
        <v>17413.7462268764</v>
      </c>
    </row>
    <row r="19" customFormat="false" ht="15" hidden="false" customHeight="false" outlineLevel="0" collapsed="false">
      <c r="B19" s="65" t="n">
        <v>14</v>
      </c>
      <c r="C19" s="66" t="n">
        <f aca="false">IF($B19=1,'Декомпозиция цикла'!$D$149-'Декомпозиция цикла'!$D$152,0)+IF(AND($B19&gt;=2,$B19&lt;='Декомпозиция цикла'!$D$143),'Декомпозиция цикла'!$D$151,0)+IF($B19='Декомпозиция цикла'!$D$186,'Декомпозиция цикла'!$D$155-'Декомпозиция цикла'!$D$158,0)+IF(AND($B19&gt;='Декомпозиция цикла'!$D$186+1,$B19&lt;='Декомпозиция цикла'!$D$186+'Декомпозиция цикла'!$D$143-1),'Декомпозиция цикла'!$D$157,0)</f>
        <v>0</v>
      </c>
      <c r="D19" s="66" t="n">
        <f aca="false">IF($B19=1,'Декомпозиция цикла'!$D$198+'Декомпозиция цикла'!$D$189,0)+IF($B19='Декомпозиция цикла'!$D$186,'Декомпозиция цикла'!$D$199,0)+IF($B19&lt;='Декомпозиция цикла'!$D$186,'Декомпозиция цикла'!$D$200,0)+'Декомпозиция цикла'!$D$183*C19</f>
        <v>0</v>
      </c>
      <c r="E19" s="66" t="n">
        <f aca="false">C19-D19</f>
        <v>0</v>
      </c>
      <c r="F19" s="67" t="n">
        <f aca="false">F18+E19</f>
        <v>-8421.50782667587</v>
      </c>
      <c r="H19" s="66" t="n">
        <f aca="false">IF($B19=1,'Декомпозиция цикла'!$E$149-'Декомпозиция цикла'!$E$152,0)+IF(AND($B19&gt;=2,$B19&lt;='Декомпозиция цикла'!$E$143),'Декомпозиция цикла'!$E$151,0)+IF($B19='Декомпозиция цикла'!$E$186,'Декомпозиция цикла'!$E$155-'Декомпозиция цикла'!$E$158,0)+IF(AND($B19&gt;='Декомпозиция цикла'!$E$186+1,$B19&lt;='Декомпозиция цикла'!$E$186+'Декомпозиция цикла'!$E$143-1),'Декомпозиция цикла'!$E$157,0)</f>
        <v>0</v>
      </c>
      <c r="I19" s="66" t="n">
        <f aca="false">IF($B19=1,'Декомпозиция цикла'!$E$198+'Декомпозиция цикла'!$E$189,0)+IF($B19='Декомпозиция цикла'!$E$186,'Декомпозиция цикла'!$E$199,0)+IF($B19&lt;='Декомпозиция цикла'!$E$186,'Декомпозиция цикла'!$E$200,0)+'Декомпозиция цикла'!$E$183*H19</f>
        <v>0</v>
      </c>
      <c r="J19" s="66" t="n">
        <f aca="false">H19-I19</f>
        <v>0</v>
      </c>
      <c r="K19" s="67" t="n">
        <f aca="false">K18+J19</f>
        <v>-3530.04305586807</v>
      </c>
      <c r="M19" s="66" t="n">
        <f aca="false">IF($B19=1,'Декомпозиция цикла'!$F$149-'Декомпозиция цикла'!$F$152,0)+IF(AND($B19&gt;=2,$B19&lt;='Декомпозиция цикла'!$F$143),'Декомпозиция цикла'!$F$151,0)+IF($B19='Декомпозиция цикла'!$F$186,'Декомпозиция цикла'!$F$155-'Декомпозиция цикла'!$F$158,0)+IF(AND($B19&gt;='Декомпозиция цикла'!$F$186+1,$B19&lt;='Декомпозиция цикла'!$F$186+'Декомпозиция цикла'!$F$143-1),'Декомпозиция цикла'!$F$157,0)</f>
        <v>0</v>
      </c>
      <c r="N19" s="66" t="n">
        <f aca="false">IF($B19=1,'Декомпозиция цикла'!$F$198+'Декомпозиция цикла'!$F$189,0)+IF($B19='Декомпозиция цикла'!$F$186,'Декомпозиция цикла'!$F$199,0)+IF($B19&lt;='Декомпозиция цикла'!$F$186,'Декомпозиция цикла'!$F$200,0)+'Декомпозиция цикла'!$F$183*M19</f>
        <v>0</v>
      </c>
      <c r="O19" s="66" t="n">
        <f aca="false">M19-N19</f>
        <v>0</v>
      </c>
      <c r="P19" s="67" t="n">
        <f aca="false">P18+O19</f>
        <v>17413.7462268764</v>
      </c>
    </row>
    <row r="20" customFormat="false" ht="15" hidden="false" customHeight="false" outlineLevel="0" collapsed="false">
      <c r="B20" s="65" t="n">
        <v>15</v>
      </c>
      <c r="C20" s="66" t="n">
        <f aca="false">IF($B20=1,'Декомпозиция цикла'!$D$149-'Декомпозиция цикла'!$D$152,0)+IF(AND($B20&gt;=2,$B20&lt;='Декомпозиция цикла'!$D$143),'Декомпозиция цикла'!$D$151,0)+IF($B20='Декомпозиция цикла'!$D$186,'Декомпозиция цикла'!$D$155-'Декомпозиция цикла'!$D$158,0)+IF(AND($B20&gt;='Декомпозиция цикла'!$D$186+1,$B20&lt;='Декомпозиция цикла'!$D$186+'Декомпозиция цикла'!$D$143-1),'Декомпозиция цикла'!$D$157,0)</f>
        <v>0</v>
      </c>
      <c r="D20" s="66" t="n">
        <f aca="false">IF($B20=1,'Декомпозиция цикла'!$D$198+'Декомпозиция цикла'!$D$189,0)+IF($B20='Декомпозиция цикла'!$D$186,'Декомпозиция цикла'!$D$199,0)+IF($B20&lt;='Декомпозиция цикла'!$D$186,'Декомпозиция цикла'!$D$200,0)+'Декомпозиция цикла'!$D$183*C20</f>
        <v>0</v>
      </c>
      <c r="E20" s="66" t="n">
        <f aca="false">C20-D20</f>
        <v>0</v>
      </c>
      <c r="F20" s="67" t="n">
        <f aca="false">F19+E20</f>
        <v>-8421.50782667587</v>
      </c>
      <c r="H20" s="66" t="n">
        <f aca="false">IF($B20=1,'Декомпозиция цикла'!$E$149-'Декомпозиция цикла'!$E$152,0)+IF(AND($B20&gt;=2,$B20&lt;='Декомпозиция цикла'!$E$143),'Декомпозиция цикла'!$E$151,0)+IF($B20='Декомпозиция цикла'!$E$186,'Декомпозиция цикла'!$E$155-'Декомпозиция цикла'!$E$158,0)+IF(AND($B20&gt;='Декомпозиция цикла'!$E$186+1,$B20&lt;='Декомпозиция цикла'!$E$186+'Декомпозиция цикла'!$E$143-1),'Декомпозиция цикла'!$E$157,0)</f>
        <v>0</v>
      </c>
      <c r="I20" s="66" t="n">
        <f aca="false">IF($B20=1,'Декомпозиция цикла'!$E$198+'Декомпозиция цикла'!$E$189,0)+IF($B20='Декомпозиция цикла'!$E$186,'Декомпозиция цикла'!$E$199,0)+IF($B20&lt;='Декомпозиция цикла'!$E$186,'Декомпозиция цикла'!$E$200,0)+'Декомпозиция цикла'!$E$183*H20</f>
        <v>0</v>
      </c>
      <c r="J20" s="66" t="n">
        <f aca="false">H20-I20</f>
        <v>0</v>
      </c>
      <c r="K20" s="67" t="n">
        <f aca="false">K19+J20</f>
        <v>-3530.04305586807</v>
      </c>
      <c r="M20" s="66" t="n">
        <f aca="false">IF($B20=1,'Декомпозиция цикла'!$F$149-'Декомпозиция цикла'!$F$152,0)+IF(AND($B20&gt;=2,$B20&lt;='Декомпозиция цикла'!$F$143),'Декомпозиция цикла'!$F$151,0)+IF($B20='Декомпозиция цикла'!$F$186,'Декомпозиция цикла'!$F$155-'Декомпозиция цикла'!$F$158,0)+IF(AND($B20&gt;='Декомпозиция цикла'!$F$186+1,$B20&lt;='Декомпозиция цикла'!$F$186+'Декомпозиция цикла'!$F$143-1),'Декомпозиция цикла'!$F$157,0)</f>
        <v>0</v>
      </c>
      <c r="N20" s="66" t="n">
        <f aca="false">IF($B20=1,'Декомпозиция цикла'!$F$198+'Декомпозиция цикла'!$F$189,0)+IF($B20='Декомпозиция цикла'!$F$186,'Декомпозиция цикла'!$F$199,0)+IF($B20&lt;='Декомпозиция цикла'!$F$186,'Декомпозиция цикла'!$F$200,0)+'Декомпозиция цикла'!$F$183*M20</f>
        <v>0</v>
      </c>
      <c r="O20" s="66" t="n">
        <f aca="false">M20-N20</f>
        <v>0</v>
      </c>
      <c r="P20" s="67" t="n">
        <f aca="false">P19+O20</f>
        <v>17413.7462268764</v>
      </c>
    </row>
    <row r="21" customFormat="false" ht="15" hidden="false" customHeight="false" outlineLevel="0" collapsed="false">
      <c r="B21" s="65" t="n">
        <v>16</v>
      </c>
      <c r="C21" s="66" t="n">
        <f aca="false">IF($B21=1,'Декомпозиция цикла'!$D$149-'Декомпозиция цикла'!$D$152,0)+IF(AND($B21&gt;=2,$B21&lt;='Декомпозиция цикла'!$D$143),'Декомпозиция цикла'!$D$151,0)+IF($B21='Декомпозиция цикла'!$D$186,'Декомпозиция цикла'!$D$155-'Декомпозиция цикла'!$D$158,0)+IF(AND($B21&gt;='Декомпозиция цикла'!$D$186+1,$B21&lt;='Декомпозиция цикла'!$D$186+'Декомпозиция цикла'!$D$143-1),'Декомпозиция цикла'!$D$157,0)</f>
        <v>0</v>
      </c>
      <c r="D21" s="66" t="n">
        <f aca="false">IF($B21=1,'Декомпозиция цикла'!$D$198+'Декомпозиция цикла'!$D$189,0)+IF($B21='Декомпозиция цикла'!$D$186,'Декомпозиция цикла'!$D$199,0)+IF($B21&lt;='Декомпозиция цикла'!$D$186,'Декомпозиция цикла'!$D$200,0)+'Декомпозиция цикла'!$D$183*C21</f>
        <v>0</v>
      </c>
      <c r="E21" s="66" t="n">
        <f aca="false">C21-D21</f>
        <v>0</v>
      </c>
      <c r="F21" s="67" t="n">
        <f aca="false">F20+E21</f>
        <v>-8421.50782667587</v>
      </c>
      <c r="H21" s="66" t="n">
        <f aca="false">IF($B21=1,'Декомпозиция цикла'!$E$149-'Декомпозиция цикла'!$E$152,0)+IF(AND($B21&gt;=2,$B21&lt;='Декомпозиция цикла'!$E$143),'Декомпозиция цикла'!$E$151,0)+IF($B21='Декомпозиция цикла'!$E$186,'Декомпозиция цикла'!$E$155-'Декомпозиция цикла'!$E$158,0)+IF(AND($B21&gt;='Декомпозиция цикла'!$E$186+1,$B21&lt;='Декомпозиция цикла'!$E$186+'Декомпозиция цикла'!$E$143-1),'Декомпозиция цикла'!$E$157,0)</f>
        <v>0</v>
      </c>
      <c r="I21" s="66" t="n">
        <f aca="false">IF($B21=1,'Декомпозиция цикла'!$E$198+'Декомпозиция цикла'!$E$189,0)+IF($B21='Декомпозиция цикла'!$E$186,'Декомпозиция цикла'!$E$199,0)+IF($B21&lt;='Декомпозиция цикла'!$E$186,'Декомпозиция цикла'!$E$200,0)+'Декомпозиция цикла'!$E$183*H21</f>
        <v>0</v>
      </c>
      <c r="J21" s="66" t="n">
        <f aca="false">H21-I21</f>
        <v>0</v>
      </c>
      <c r="K21" s="67" t="n">
        <f aca="false">K20+J21</f>
        <v>-3530.04305586807</v>
      </c>
      <c r="M21" s="66" t="n">
        <f aca="false">IF($B21=1,'Декомпозиция цикла'!$F$149-'Декомпозиция цикла'!$F$152,0)+IF(AND($B21&gt;=2,$B21&lt;='Декомпозиция цикла'!$F$143),'Декомпозиция цикла'!$F$151,0)+IF($B21='Декомпозиция цикла'!$F$186,'Декомпозиция цикла'!$F$155-'Декомпозиция цикла'!$F$158,0)+IF(AND($B21&gt;='Декомпозиция цикла'!$F$186+1,$B21&lt;='Декомпозиция цикла'!$F$186+'Декомпозиция цикла'!$F$143-1),'Декомпозиция цикла'!$F$157,0)</f>
        <v>0</v>
      </c>
      <c r="N21" s="66" t="n">
        <f aca="false">IF($B21=1,'Декомпозиция цикла'!$F$198+'Декомпозиция цикла'!$F$189,0)+IF($B21='Декомпозиция цикла'!$F$186,'Декомпозиция цикла'!$F$199,0)+IF($B21&lt;='Декомпозиция цикла'!$F$186,'Декомпозиция цикла'!$F$200,0)+'Декомпозиция цикла'!$F$183*M21</f>
        <v>0</v>
      </c>
      <c r="O21" s="66" t="n">
        <f aca="false">M21-N21</f>
        <v>0</v>
      </c>
      <c r="P21" s="67" t="n">
        <f aca="false">P20+O21</f>
        <v>17413.7462268764</v>
      </c>
    </row>
    <row r="22" customFormat="false" ht="15" hidden="false" customHeight="false" outlineLevel="0" collapsed="false">
      <c r="B22" s="65" t="n">
        <v>17</v>
      </c>
      <c r="C22" s="66" t="n">
        <f aca="false">IF($B22=1,'Декомпозиция цикла'!$D$149-'Декомпозиция цикла'!$D$152,0)+IF(AND($B22&gt;=2,$B22&lt;='Декомпозиция цикла'!$D$143),'Декомпозиция цикла'!$D$151,0)+IF($B22='Декомпозиция цикла'!$D$186,'Декомпозиция цикла'!$D$155-'Декомпозиция цикла'!$D$158,0)+IF(AND($B22&gt;='Декомпозиция цикла'!$D$186+1,$B22&lt;='Декомпозиция цикла'!$D$186+'Декомпозиция цикла'!$D$143-1),'Декомпозиция цикла'!$D$157,0)</f>
        <v>0</v>
      </c>
      <c r="D22" s="66" t="n">
        <f aca="false">IF($B22=1,'Декомпозиция цикла'!$D$198+'Декомпозиция цикла'!$D$189,0)+IF($B22='Декомпозиция цикла'!$D$186,'Декомпозиция цикла'!$D$199,0)+IF($B22&lt;='Декомпозиция цикла'!$D$186,'Декомпозиция цикла'!$D$200,0)+'Декомпозиция цикла'!$D$183*C22</f>
        <v>0</v>
      </c>
      <c r="E22" s="66" t="n">
        <f aca="false">C22-D22</f>
        <v>0</v>
      </c>
      <c r="F22" s="67" t="n">
        <f aca="false">F21+E22</f>
        <v>-8421.50782667587</v>
      </c>
      <c r="H22" s="66" t="n">
        <f aca="false">IF($B22=1,'Декомпозиция цикла'!$E$149-'Декомпозиция цикла'!$E$152,0)+IF(AND($B22&gt;=2,$B22&lt;='Декомпозиция цикла'!$E$143),'Декомпозиция цикла'!$E$151,0)+IF($B22='Декомпозиция цикла'!$E$186,'Декомпозиция цикла'!$E$155-'Декомпозиция цикла'!$E$158,0)+IF(AND($B22&gt;='Декомпозиция цикла'!$E$186+1,$B22&lt;='Декомпозиция цикла'!$E$186+'Декомпозиция цикла'!$E$143-1),'Декомпозиция цикла'!$E$157,0)</f>
        <v>0</v>
      </c>
      <c r="I22" s="66" t="n">
        <f aca="false">IF($B22=1,'Декомпозиция цикла'!$E$198+'Декомпозиция цикла'!$E$189,0)+IF($B22='Декомпозиция цикла'!$E$186,'Декомпозиция цикла'!$E$199,0)+IF($B22&lt;='Декомпозиция цикла'!$E$186,'Декомпозиция цикла'!$E$200,0)+'Декомпозиция цикла'!$E$183*H22</f>
        <v>0</v>
      </c>
      <c r="J22" s="66" t="n">
        <f aca="false">H22-I22</f>
        <v>0</v>
      </c>
      <c r="K22" s="67" t="n">
        <f aca="false">K21+J22</f>
        <v>-3530.04305586807</v>
      </c>
      <c r="M22" s="66" t="n">
        <f aca="false">IF($B22=1,'Декомпозиция цикла'!$F$149-'Декомпозиция цикла'!$F$152,0)+IF(AND($B22&gt;=2,$B22&lt;='Декомпозиция цикла'!$F$143),'Декомпозиция цикла'!$F$151,0)+IF($B22='Декомпозиция цикла'!$F$186,'Декомпозиция цикла'!$F$155-'Декомпозиция цикла'!$F$158,0)+IF(AND($B22&gt;='Декомпозиция цикла'!$F$186+1,$B22&lt;='Декомпозиция цикла'!$F$186+'Декомпозиция цикла'!$F$143-1),'Декомпозиция цикла'!$F$157,0)</f>
        <v>0</v>
      </c>
      <c r="N22" s="66" t="n">
        <f aca="false">IF($B22=1,'Декомпозиция цикла'!$F$198+'Декомпозиция цикла'!$F$189,0)+IF($B22='Декомпозиция цикла'!$F$186,'Декомпозиция цикла'!$F$199,0)+IF($B22&lt;='Декомпозиция цикла'!$F$186,'Декомпозиция цикла'!$F$200,0)+'Декомпозиция цикла'!$F$183*M22</f>
        <v>0</v>
      </c>
      <c r="O22" s="66" t="n">
        <f aca="false">M22-N22</f>
        <v>0</v>
      </c>
      <c r="P22" s="67" t="n">
        <f aca="false">P21+O22</f>
        <v>17413.7462268764</v>
      </c>
    </row>
    <row r="23" customFormat="false" ht="15" hidden="false" customHeight="false" outlineLevel="0" collapsed="false">
      <c r="B23" s="65" t="n">
        <v>18</v>
      </c>
      <c r="C23" s="66" t="n">
        <f aca="false">IF($B23=1,'Декомпозиция цикла'!$D$149-'Декомпозиция цикла'!$D$152,0)+IF(AND($B23&gt;=2,$B23&lt;='Декомпозиция цикла'!$D$143),'Декомпозиция цикла'!$D$151,0)+IF($B23='Декомпозиция цикла'!$D$186,'Декомпозиция цикла'!$D$155-'Декомпозиция цикла'!$D$158,0)+IF(AND($B23&gt;='Декомпозиция цикла'!$D$186+1,$B23&lt;='Декомпозиция цикла'!$D$186+'Декомпозиция цикла'!$D$143-1),'Декомпозиция цикла'!$D$157,0)</f>
        <v>0</v>
      </c>
      <c r="D23" s="66" t="n">
        <f aca="false">IF($B23=1,'Декомпозиция цикла'!$D$198+'Декомпозиция цикла'!$D$189,0)+IF($B23='Декомпозиция цикла'!$D$186,'Декомпозиция цикла'!$D$199,0)+IF($B23&lt;='Декомпозиция цикла'!$D$186,'Декомпозиция цикла'!$D$200,0)+'Декомпозиция цикла'!$D$183*C23</f>
        <v>0</v>
      </c>
      <c r="E23" s="66" t="n">
        <f aca="false">C23-D23</f>
        <v>0</v>
      </c>
      <c r="F23" s="67" t="n">
        <f aca="false">F22+E23</f>
        <v>-8421.50782667587</v>
      </c>
      <c r="H23" s="66" t="n">
        <f aca="false">IF($B23=1,'Декомпозиция цикла'!$E$149-'Декомпозиция цикла'!$E$152,0)+IF(AND($B23&gt;=2,$B23&lt;='Декомпозиция цикла'!$E$143),'Декомпозиция цикла'!$E$151,0)+IF($B23='Декомпозиция цикла'!$E$186,'Декомпозиция цикла'!$E$155-'Декомпозиция цикла'!$E$158,0)+IF(AND($B23&gt;='Декомпозиция цикла'!$E$186+1,$B23&lt;='Декомпозиция цикла'!$E$186+'Декомпозиция цикла'!$E$143-1),'Декомпозиция цикла'!$E$157,0)</f>
        <v>0</v>
      </c>
      <c r="I23" s="66" t="n">
        <f aca="false">IF($B23=1,'Декомпозиция цикла'!$E$198+'Декомпозиция цикла'!$E$189,0)+IF($B23='Декомпозиция цикла'!$E$186,'Декомпозиция цикла'!$E$199,0)+IF($B23&lt;='Декомпозиция цикла'!$E$186,'Декомпозиция цикла'!$E$200,0)+'Декомпозиция цикла'!$E$183*H23</f>
        <v>0</v>
      </c>
      <c r="J23" s="66" t="n">
        <f aca="false">H23-I23</f>
        <v>0</v>
      </c>
      <c r="K23" s="67" t="n">
        <f aca="false">K22+J23</f>
        <v>-3530.04305586807</v>
      </c>
      <c r="M23" s="66" t="n">
        <f aca="false">IF($B23=1,'Декомпозиция цикла'!$F$149-'Декомпозиция цикла'!$F$152,0)+IF(AND($B23&gt;=2,$B23&lt;='Декомпозиция цикла'!$F$143),'Декомпозиция цикла'!$F$151,0)+IF($B23='Декомпозиция цикла'!$F$186,'Декомпозиция цикла'!$F$155-'Декомпозиция цикла'!$F$158,0)+IF(AND($B23&gt;='Декомпозиция цикла'!$F$186+1,$B23&lt;='Декомпозиция цикла'!$F$186+'Декомпозиция цикла'!$F$143-1),'Декомпозиция цикла'!$F$157,0)</f>
        <v>0</v>
      </c>
      <c r="N23" s="66" t="n">
        <f aca="false">IF($B23=1,'Декомпозиция цикла'!$F$198+'Декомпозиция цикла'!$F$189,0)+IF($B23='Декомпозиция цикла'!$F$186,'Декомпозиция цикла'!$F$199,0)+IF($B23&lt;='Декомпозиция цикла'!$F$186,'Декомпозиция цикла'!$F$200,0)+'Декомпозиция цикла'!$F$183*M23</f>
        <v>0</v>
      </c>
      <c r="O23" s="66" t="n">
        <f aca="false">M23-N23</f>
        <v>0</v>
      </c>
      <c r="P23" s="67" t="n">
        <f aca="false">P22+O23</f>
        <v>17413.7462268764</v>
      </c>
    </row>
    <row r="24" customFormat="false" ht="15" hidden="false" customHeight="false" outlineLevel="0" collapsed="false">
      <c r="B24" s="68" t="s">
        <v>334</v>
      </c>
      <c r="C24" s="69" t="n">
        <f aca="false">SUM(C6:C23)</f>
        <v>1367.57210915657</v>
      </c>
      <c r="D24" s="69" t="n">
        <f aca="false">SUM(D6:D23)</f>
        <v>9789.07993583244</v>
      </c>
      <c r="E24" s="69" t="n">
        <f aca="false">SUM(E6:E23)</f>
        <v>-8421.50782667587</v>
      </c>
      <c r="F24" s="51"/>
      <c r="H24" s="69" t="n">
        <f aca="false">SUM(H6:H23)</f>
        <v>7253.70088108592</v>
      </c>
      <c r="I24" s="69" t="n">
        <f aca="false">SUM(I6:I23)</f>
        <v>10783.743936954</v>
      </c>
      <c r="J24" s="69" t="n">
        <f aca="false">SUM(J6:J23)</f>
        <v>-3530.04305586807</v>
      </c>
      <c r="K24" s="51"/>
      <c r="M24" s="69" t="n">
        <f aca="false">SUM(M6:M23)</f>
        <v>32450.8452082302</v>
      </c>
      <c r="N24" s="69" t="n">
        <f aca="false">SUM(N6:N23)</f>
        <v>15037.0989813538</v>
      </c>
      <c r="O24" s="69" t="n">
        <f aca="false">SUM(O6:O23)</f>
        <v>17413.7462268764</v>
      </c>
      <c r="P24" s="51"/>
    </row>
    <row r="26" customFormat="false" ht="15" hidden="false" customHeight="false" outlineLevel="0" collapsed="false">
      <c r="B26" s="70" t="s">
        <v>335</v>
      </c>
      <c r="C26" s="71" t="n">
        <f aca="false">ROUND(C24-'Декомпозиция цикла'!$D$168,2)</f>
        <v>0</v>
      </c>
      <c r="H26" s="71" t="n">
        <f aca="false">ROUND(H24-'Декомпозиция цикла'!$E$168,2)</f>
        <v>0</v>
      </c>
      <c r="M26" s="71" t="n">
        <f aca="false">ROUND(M24-'Декомпозиция цикла'!$F$168,2)</f>
        <v>0</v>
      </c>
    </row>
    <row r="27" customFormat="false" ht="15" hidden="false" customHeight="false" outlineLevel="0" collapsed="false">
      <c r="B27" s="70" t="s">
        <v>336</v>
      </c>
      <c r="D27" s="71" t="n">
        <f aca="false">ROUND(D24-'Декомпозиция цикла'!$D$196,2)</f>
        <v>0</v>
      </c>
      <c r="I27" s="71" t="n">
        <f aca="false">ROUND(I24-'Декомпозиция цикла'!$E$196,2)</f>
        <v>0</v>
      </c>
      <c r="N27" s="71" t="n">
        <f aca="false">ROUND(N24-'Декомпозиция цикла'!$F$196,2)</f>
        <v>0</v>
      </c>
    </row>
    <row r="28" customFormat="false" ht="15" hidden="false" customHeight="false" outlineLevel="0" collapsed="false">
      <c r="B28" s="68" t="s">
        <v>337</v>
      </c>
      <c r="F28" s="67" t="n">
        <f aca="false">MIN(0,MIN(F6:F23))</f>
        <v>-8482.91237504328</v>
      </c>
      <c r="K28" s="67" t="n">
        <f aca="false">MIN(0,MIN(K6:K23))</f>
        <v>-3591.02141114634</v>
      </c>
      <c r="P28" s="67" t="n">
        <f aca="false">MIN(0,MIN(P6:P23))</f>
        <v>0</v>
      </c>
    </row>
    <row r="29" customFormat="false" ht="15" hidden="false" customHeight="false" outlineLevel="0" collapsed="false">
      <c r="B29" s="68" t="s">
        <v>338</v>
      </c>
      <c r="F29" s="67" t="n">
        <f aca="false">-'Декомпозиция цикла'!$D$201</f>
        <v>-8380</v>
      </c>
      <c r="K29" s="67" t="n">
        <f aca="false">-'Декомпозиция цикла'!$E$201</f>
        <v>-8380</v>
      </c>
      <c r="P29" s="67" t="n">
        <f aca="false">-'Декомпозиция цикла'!$F$201</f>
        <v>-8380</v>
      </c>
    </row>
  </sheetData>
  <mergeCells count="3">
    <mergeCell ref="C4:F4"/>
    <mergeCell ref="H4:K4"/>
    <mergeCell ref="M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58"/>
    <col collapsed="false" customWidth="true" hidden="false" outlineLevel="0" max="7" min="7" style="0" width="50"/>
  </cols>
  <sheetData>
    <row r="1" customFormat="false" ht="17.35" hidden="false" customHeight="false" outlineLevel="0" collapsed="false">
      <c r="B1" s="61" t="s">
        <v>339</v>
      </c>
    </row>
    <row r="2" customFormat="false" ht="15" hidden="false" customHeight="false" outlineLevel="0" collapsed="false">
      <c r="B2" s="2" t="s">
        <v>340</v>
      </c>
    </row>
    <row r="4" customFormat="false" ht="15" hidden="false" customHeight="false" outlineLevel="0" collapsed="false">
      <c r="B4" s="72" t="s">
        <v>341</v>
      </c>
    </row>
    <row r="5" customFormat="false" ht="15" hidden="false" customHeight="false" outlineLevel="0" collapsed="false">
      <c r="B5" s="63"/>
      <c r="C5" s="63" t="s">
        <v>342</v>
      </c>
      <c r="D5" s="73" t="s">
        <v>343</v>
      </c>
      <c r="E5" s="73"/>
      <c r="F5" s="73" t="s">
        <v>344</v>
      </c>
      <c r="G5" s="73"/>
    </row>
    <row r="6" customFormat="false" ht="48" hidden="false" customHeight="true" outlineLevel="0" collapsed="false">
      <c r="C6" s="74" t="s">
        <v>345</v>
      </c>
      <c r="D6" s="75" t="s">
        <v>346</v>
      </c>
      <c r="E6" s="75"/>
      <c r="F6" s="75" t="s">
        <v>347</v>
      </c>
      <c r="G6" s="75"/>
    </row>
    <row r="7" customFormat="false" ht="48" hidden="false" customHeight="true" outlineLevel="0" collapsed="false">
      <c r="C7" s="74" t="s">
        <v>348</v>
      </c>
      <c r="D7" s="75" t="s">
        <v>349</v>
      </c>
      <c r="E7" s="75"/>
      <c r="F7" s="75" t="s">
        <v>350</v>
      </c>
      <c r="G7" s="75"/>
    </row>
    <row r="8" customFormat="false" ht="48" hidden="false" customHeight="true" outlineLevel="0" collapsed="false">
      <c r="C8" s="74" t="s">
        <v>351</v>
      </c>
      <c r="D8" s="75" t="s">
        <v>352</v>
      </c>
      <c r="E8" s="75"/>
      <c r="F8" s="75" t="s">
        <v>353</v>
      </c>
      <c r="G8" s="75"/>
    </row>
    <row r="9" customFormat="false" ht="48" hidden="false" customHeight="true" outlineLevel="0" collapsed="false">
      <c r="C9" s="74" t="s">
        <v>354</v>
      </c>
      <c r="D9" s="75" t="s">
        <v>355</v>
      </c>
      <c r="E9" s="75"/>
      <c r="F9" s="75" t="s">
        <v>356</v>
      </c>
      <c r="G9" s="75"/>
    </row>
    <row r="11" customFormat="false" ht="15" hidden="false" customHeight="false" outlineLevel="0" collapsed="false">
      <c r="B11" s="72" t="s">
        <v>357</v>
      </c>
    </row>
    <row r="12" customFormat="false" ht="15" hidden="false" customHeight="false" outlineLevel="0" collapsed="false">
      <c r="B12" s="63" t="s">
        <v>358</v>
      </c>
      <c r="C12" s="63" t="s">
        <v>342</v>
      </c>
      <c r="D12" s="63" t="s">
        <v>359</v>
      </c>
      <c r="E12" s="63" t="s">
        <v>360</v>
      </c>
      <c r="F12" s="63" t="s">
        <v>361</v>
      </c>
      <c r="G12" s="63" t="s">
        <v>362</v>
      </c>
    </row>
    <row r="13" customFormat="false" ht="61.5" hidden="false" customHeight="true" outlineLevel="0" collapsed="false">
      <c r="B13" s="76" t="n">
        <v>1</v>
      </c>
      <c r="C13" s="77" t="s">
        <v>351</v>
      </c>
      <c r="D13" s="77" t="s">
        <v>363</v>
      </c>
      <c r="E13" s="77" t="s">
        <v>364</v>
      </c>
      <c r="F13" s="77" t="s">
        <v>365</v>
      </c>
      <c r="G13" s="77" t="s">
        <v>366</v>
      </c>
    </row>
    <row r="14" customFormat="false" ht="61.5" hidden="false" customHeight="true" outlineLevel="0" collapsed="false">
      <c r="B14" s="76" t="n">
        <v>2</v>
      </c>
      <c r="C14" s="77" t="s">
        <v>348</v>
      </c>
      <c r="D14" s="77" t="s">
        <v>367</v>
      </c>
      <c r="E14" s="77" t="s">
        <v>368</v>
      </c>
      <c r="F14" s="77" t="s">
        <v>369</v>
      </c>
      <c r="G14" s="77" t="s">
        <v>370</v>
      </c>
    </row>
    <row r="15" customFormat="false" ht="61.5" hidden="false" customHeight="true" outlineLevel="0" collapsed="false">
      <c r="B15" s="76" t="n">
        <v>3</v>
      </c>
      <c r="C15" s="77" t="s">
        <v>348</v>
      </c>
      <c r="D15" s="77" t="s">
        <v>371</v>
      </c>
      <c r="E15" s="77" t="s">
        <v>372</v>
      </c>
      <c r="F15" s="77" t="s">
        <v>373</v>
      </c>
      <c r="G15" s="77" t="s">
        <v>374</v>
      </c>
    </row>
    <row r="16" customFormat="false" ht="61.5" hidden="false" customHeight="true" outlineLevel="0" collapsed="false">
      <c r="B16" s="76" t="n">
        <v>4</v>
      </c>
      <c r="C16" s="77" t="s">
        <v>348</v>
      </c>
      <c r="D16" s="77" t="s">
        <v>375</v>
      </c>
      <c r="E16" s="77" t="s">
        <v>376</v>
      </c>
      <c r="F16" s="77" t="s">
        <v>377</v>
      </c>
      <c r="G16" s="77" t="s">
        <v>378</v>
      </c>
    </row>
    <row r="17" customFormat="false" ht="61.5" hidden="false" customHeight="true" outlineLevel="0" collapsed="false">
      <c r="B17" s="76" t="n">
        <v>5</v>
      </c>
      <c r="C17" s="77" t="s">
        <v>345</v>
      </c>
      <c r="D17" s="77" t="s">
        <v>379</v>
      </c>
      <c r="E17" s="77" t="s">
        <v>380</v>
      </c>
      <c r="F17" s="77" t="s">
        <v>381</v>
      </c>
      <c r="G17" s="77" t="s">
        <v>382</v>
      </c>
    </row>
    <row r="18" customFormat="false" ht="61.5" hidden="false" customHeight="true" outlineLevel="0" collapsed="false">
      <c r="B18" s="76" t="n">
        <v>6</v>
      </c>
      <c r="C18" s="77" t="s">
        <v>383</v>
      </c>
      <c r="D18" s="77" t="s">
        <v>384</v>
      </c>
      <c r="E18" s="77" t="s">
        <v>385</v>
      </c>
      <c r="F18" s="77" t="s">
        <v>386</v>
      </c>
      <c r="G18" s="77" t="s">
        <v>387</v>
      </c>
    </row>
    <row r="19" customFormat="false" ht="61.5" hidden="false" customHeight="true" outlineLevel="0" collapsed="false">
      <c r="B19" s="76" t="n">
        <v>7</v>
      </c>
      <c r="C19" s="77" t="s">
        <v>351</v>
      </c>
      <c r="D19" s="77" t="s">
        <v>388</v>
      </c>
      <c r="E19" s="77" t="s">
        <v>389</v>
      </c>
      <c r="F19" s="77" t="s">
        <v>390</v>
      </c>
      <c r="G19" s="77" t="s">
        <v>391</v>
      </c>
    </row>
    <row r="20" customFormat="false" ht="61.5" hidden="false" customHeight="true" outlineLevel="0" collapsed="false">
      <c r="B20" s="76" t="n">
        <v>8</v>
      </c>
      <c r="C20" s="77" t="s">
        <v>351</v>
      </c>
      <c r="D20" s="77" t="s">
        <v>392</v>
      </c>
      <c r="E20" s="77" t="s">
        <v>393</v>
      </c>
      <c r="F20" s="77" t="s">
        <v>394</v>
      </c>
      <c r="G20" s="77" t="s">
        <v>395</v>
      </c>
    </row>
    <row r="21" customFormat="false" ht="61.5" hidden="false" customHeight="true" outlineLevel="0" collapsed="false">
      <c r="B21" s="76" t="n">
        <v>9</v>
      </c>
      <c r="C21" s="77" t="s">
        <v>351</v>
      </c>
      <c r="D21" s="77" t="s">
        <v>396</v>
      </c>
      <c r="E21" s="77" t="s">
        <v>397</v>
      </c>
      <c r="F21" s="77" t="s">
        <v>398</v>
      </c>
      <c r="G21" s="77" t="s">
        <v>399</v>
      </c>
    </row>
    <row r="22" customFormat="false" ht="61.5" hidden="false" customHeight="true" outlineLevel="0" collapsed="false">
      <c r="B22" s="76" t="n">
        <v>10</v>
      </c>
      <c r="C22" s="77" t="s">
        <v>383</v>
      </c>
      <c r="D22" s="77" t="s">
        <v>400</v>
      </c>
      <c r="E22" s="77" t="s">
        <v>401</v>
      </c>
      <c r="F22" s="77" t="s">
        <v>402</v>
      </c>
      <c r="G22" s="77" t="s">
        <v>403</v>
      </c>
    </row>
    <row r="23" customFormat="false" ht="61.5" hidden="false" customHeight="true" outlineLevel="0" collapsed="false">
      <c r="B23" s="76" t="n">
        <v>11</v>
      </c>
      <c r="C23" s="77" t="s">
        <v>354</v>
      </c>
      <c r="D23" s="77" t="s">
        <v>404</v>
      </c>
      <c r="E23" s="77" t="s">
        <v>405</v>
      </c>
      <c r="F23" s="77" t="s">
        <v>406</v>
      </c>
      <c r="G23" s="77" t="s">
        <v>407</v>
      </c>
    </row>
    <row r="24" customFormat="false" ht="61.5" hidden="false" customHeight="true" outlineLevel="0" collapsed="false">
      <c r="B24" s="76" t="n">
        <v>12</v>
      </c>
      <c r="C24" s="77" t="s">
        <v>354</v>
      </c>
      <c r="D24" s="77" t="s">
        <v>408</v>
      </c>
      <c r="E24" s="77" t="s">
        <v>409</v>
      </c>
      <c r="F24" s="77" t="s">
        <v>410</v>
      </c>
      <c r="G24" s="77" t="s">
        <v>411</v>
      </c>
    </row>
    <row r="25" customFormat="false" ht="61.5" hidden="false" customHeight="true" outlineLevel="0" collapsed="false">
      <c r="B25" s="76" t="n">
        <v>13</v>
      </c>
      <c r="C25" s="77" t="s">
        <v>354</v>
      </c>
      <c r="D25" s="77" t="s">
        <v>412</v>
      </c>
      <c r="E25" s="77" t="s">
        <v>413</v>
      </c>
      <c r="F25" s="77" t="s">
        <v>414</v>
      </c>
      <c r="G25" s="77" t="s">
        <v>415</v>
      </c>
    </row>
    <row r="26" customFormat="false" ht="61.5" hidden="false" customHeight="true" outlineLevel="0" collapsed="false">
      <c r="B26" s="76" t="n">
        <v>14</v>
      </c>
      <c r="C26" s="77" t="s">
        <v>416</v>
      </c>
      <c r="D26" s="77" t="s">
        <v>417</v>
      </c>
      <c r="E26" s="77" t="s">
        <v>418</v>
      </c>
      <c r="F26" s="77" t="s">
        <v>419</v>
      </c>
      <c r="G26" s="77" t="s">
        <v>420</v>
      </c>
    </row>
    <row r="27" customFormat="false" ht="61.5" hidden="false" customHeight="true" outlineLevel="0" collapsed="false">
      <c r="B27" s="76" t="n">
        <v>15</v>
      </c>
      <c r="C27" s="77" t="s">
        <v>416</v>
      </c>
      <c r="D27" s="77" t="s">
        <v>421</v>
      </c>
      <c r="E27" s="77" t="s">
        <v>422</v>
      </c>
      <c r="F27" s="77" t="s">
        <v>423</v>
      </c>
      <c r="G27" s="77" t="s">
        <v>424</v>
      </c>
    </row>
  </sheetData>
  <mergeCells count="10"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6"/>
    <col collapsed="false" customWidth="true" hidden="false" outlineLevel="0" max="6" min="4" style="0" width="13"/>
    <col collapsed="false" customWidth="true" hidden="false" outlineLevel="0" max="7" min="7" style="0" width="62"/>
    <col collapsed="false" customWidth="true" hidden="false" outlineLevel="0" max="8" min="8" style="0" width="8"/>
    <col collapsed="false" customWidth="true" hidden="false" outlineLevel="0" max="12" min="9" style="0" width="20"/>
    <col collapsed="false" customWidth="true" hidden="false" outlineLevel="0" max="13" min="13" style="0" width="11"/>
    <col collapsed="false" customWidth="true" hidden="false" outlineLevel="0" max="14" min="14" style="0" width="14"/>
  </cols>
  <sheetData>
    <row r="1" customFormat="false" ht="17.35" hidden="false" customHeight="false" outlineLevel="0" collapsed="false">
      <c r="B1" s="61" t="s">
        <v>425</v>
      </c>
    </row>
    <row r="2" customFormat="false" ht="31.5" hidden="false" customHeight="true" outlineLevel="0" collapsed="false">
      <c r="B2" s="78" t="s">
        <v>426</v>
      </c>
      <c r="C2" s="78"/>
      <c r="D2" s="78"/>
      <c r="E2" s="78"/>
      <c r="F2" s="78"/>
      <c r="G2" s="78"/>
      <c r="H2" s="78"/>
      <c r="I2" s="78"/>
    </row>
    <row r="4" customFormat="false" ht="15" hidden="false" customHeight="false" outlineLevel="0" collapsed="false">
      <c r="B4" s="63" t="s">
        <v>5</v>
      </c>
      <c r="C4" s="63" t="s">
        <v>6</v>
      </c>
      <c r="D4" s="79" t="s">
        <v>7</v>
      </c>
      <c r="E4" s="79" t="s">
        <v>8</v>
      </c>
      <c r="F4" s="79" t="s">
        <v>9</v>
      </c>
      <c r="G4" s="63" t="s">
        <v>427</v>
      </c>
      <c r="H4" s="63" t="s">
        <v>428</v>
      </c>
      <c r="I4" s="63" t="s">
        <v>429</v>
      </c>
      <c r="J4" s="63" t="s">
        <v>430</v>
      </c>
      <c r="K4" s="63" t="s">
        <v>431</v>
      </c>
      <c r="L4" s="63" t="s">
        <v>432</v>
      </c>
      <c r="M4" s="63" t="s">
        <v>433</v>
      </c>
      <c r="N4" s="63" t="s">
        <v>434</v>
      </c>
    </row>
    <row r="5" customFormat="false" ht="30" hidden="false" customHeight="true" outlineLevel="0" collapsed="false">
      <c r="B5" s="77" t="s">
        <v>60</v>
      </c>
      <c r="C5" s="77" t="s">
        <v>61</v>
      </c>
      <c r="D5" s="80" t="n">
        <f aca="false">'Декомпозиция цикла'!$D$31</f>
        <v>11765</v>
      </c>
      <c r="E5" s="80" t="n">
        <f aca="false">'Декомпозиция цикла'!$E$31</f>
        <v>11765</v>
      </c>
      <c r="F5" s="80" t="n">
        <f aca="false">'Декомпозиция цикла'!$F$31</f>
        <v>11765</v>
      </c>
      <c r="G5" s="77" t="s">
        <v>435</v>
      </c>
      <c r="H5" s="77" t="s">
        <v>436</v>
      </c>
      <c r="I5" s="81" t="s">
        <v>63</v>
      </c>
      <c r="J5" s="81" t="s">
        <v>437</v>
      </c>
      <c r="M5" s="77" t="s">
        <v>438</v>
      </c>
      <c r="N5" s="77" t="s">
        <v>439</v>
      </c>
    </row>
    <row r="6" customFormat="false" ht="42.75" hidden="false" customHeight="true" outlineLevel="0" collapsed="false">
      <c r="B6" s="77" t="s">
        <v>50</v>
      </c>
      <c r="C6" s="77" t="s">
        <v>14</v>
      </c>
      <c r="D6" s="82" t="n">
        <f aca="false">'Декомпозиция цикла'!$D$27</f>
        <v>300</v>
      </c>
      <c r="E6" s="82" t="n">
        <f aca="false">'Декомпозиция цикла'!$E$27</f>
        <v>300</v>
      </c>
      <c r="F6" s="82" t="n">
        <f aca="false">'Декомпозиция цикла'!$F$27</f>
        <v>300</v>
      </c>
      <c r="G6" s="77" t="s">
        <v>440</v>
      </c>
      <c r="H6" s="77" t="s">
        <v>436</v>
      </c>
      <c r="I6" s="81" t="s">
        <v>52</v>
      </c>
      <c r="J6" s="81" t="s">
        <v>441</v>
      </c>
      <c r="K6" s="81" t="s">
        <v>442</v>
      </c>
      <c r="L6" s="81" t="s">
        <v>443</v>
      </c>
      <c r="M6" s="77" t="s">
        <v>438</v>
      </c>
      <c r="N6" s="77" t="s">
        <v>444</v>
      </c>
    </row>
    <row r="7" customFormat="false" ht="30" hidden="false" customHeight="true" outlineLevel="0" collapsed="false">
      <c r="B7" s="77" t="s">
        <v>69</v>
      </c>
      <c r="C7" s="77" t="s">
        <v>14</v>
      </c>
      <c r="D7" s="83" t="n">
        <f aca="false">'Декомпозиция цикла'!$D$36</f>
        <v>5</v>
      </c>
      <c r="E7" s="83" t="n">
        <f aca="false">'Декомпозиция цикла'!$E$36</f>
        <v>4</v>
      </c>
      <c r="F7" s="83" t="n">
        <f aca="false">'Декомпозиция цикла'!$F$36</f>
        <v>3</v>
      </c>
      <c r="G7" s="77" t="s">
        <v>445</v>
      </c>
      <c r="H7" s="77" t="s">
        <v>436</v>
      </c>
      <c r="I7" s="81" t="s">
        <v>71</v>
      </c>
      <c r="J7" s="81" t="s">
        <v>76</v>
      </c>
      <c r="K7" s="81" t="s">
        <v>446</v>
      </c>
      <c r="L7" s="81" t="s">
        <v>447</v>
      </c>
      <c r="M7" s="77" t="s">
        <v>448</v>
      </c>
      <c r="N7" s="77" t="s">
        <v>449</v>
      </c>
    </row>
    <row r="8" customFormat="false" ht="30" hidden="false" customHeight="true" outlineLevel="0" collapsed="false">
      <c r="B8" s="77" t="s">
        <v>74</v>
      </c>
      <c r="C8" s="77" t="s">
        <v>57</v>
      </c>
      <c r="D8" s="84" t="n">
        <f aca="false">'Декомпозиция цикла'!$D$38</f>
        <v>0.008</v>
      </c>
      <c r="E8" s="84" t="n">
        <f aca="false">'Декомпозиция цикла'!$E$38</f>
        <v>0.01</v>
      </c>
      <c r="F8" s="84" t="n">
        <f aca="false">'Декомпозиция цикла'!$F$38</f>
        <v>0.012</v>
      </c>
      <c r="G8" s="77" t="s">
        <v>450</v>
      </c>
      <c r="H8" s="77" t="s">
        <v>451</v>
      </c>
      <c r="I8" s="81" t="s">
        <v>76</v>
      </c>
      <c r="J8" s="81" t="s">
        <v>83</v>
      </c>
      <c r="M8" s="77" t="s">
        <v>448</v>
      </c>
      <c r="N8" s="77" t="s">
        <v>449</v>
      </c>
    </row>
    <row r="9" customFormat="false" ht="42.75" hidden="false" customHeight="true" outlineLevel="0" collapsed="false">
      <c r="B9" s="77" t="s">
        <v>81</v>
      </c>
      <c r="C9" s="77" t="s">
        <v>57</v>
      </c>
      <c r="D9" s="84" t="n">
        <f aca="false">'Декомпозиция цикла'!$D$41</f>
        <v>0.08</v>
      </c>
      <c r="E9" s="84" t="n">
        <f aca="false">'Декомпозиция цикла'!$E$41</f>
        <v>0.1</v>
      </c>
      <c r="F9" s="84" t="n">
        <f aca="false">'Декомпозиция цикла'!$F$41</f>
        <v>0.125</v>
      </c>
      <c r="G9" s="77" t="s">
        <v>452</v>
      </c>
      <c r="H9" s="77" t="s">
        <v>453</v>
      </c>
      <c r="I9" s="81" t="s">
        <v>83</v>
      </c>
      <c r="J9" s="81" t="s">
        <v>83</v>
      </c>
      <c r="M9" s="77" t="s">
        <v>454</v>
      </c>
      <c r="N9" s="77" t="s">
        <v>444</v>
      </c>
    </row>
    <row r="10" customFormat="false" ht="42.75" hidden="false" customHeight="true" outlineLevel="0" collapsed="false">
      <c r="B10" s="77" t="s">
        <v>87</v>
      </c>
      <c r="C10" s="77" t="s">
        <v>14</v>
      </c>
      <c r="D10" s="83" t="n">
        <f aca="false">'Декомпозиция цикла'!$D$43</f>
        <v>7.8125</v>
      </c>
      <c r="E10" s="83" t="n">
        <f aca="false">'Декомпозиция цикла'!$E$43</f>
        <v>4</v>
      </c>
      <c r="F10" s="83" t="n">
        <f aca="false">'Декомпозиция цикла'!$F$43</f>
        <v>2</v>
      </c>
      <c r="G10" s="77" t="s">
        <v>455</v>
      </c>
      <c r="H10" s="77" t="s">
        <v>456</v>
      </c>
      <c r="I10" s="81" t="s">
        <v>71</v>
      </c>
      <c r="J10" s="81" t="s">
        <v>447</v>
      </c>
      <c r="K10" s="81" t="s">
        <v>457</v>
      </c>
      <c r="L10" s="81" t="s">
        <v>83</v>
      </c>
      <c r="M10" s="77" t="s">
        <v>458</v>
      </c>
      <c r="N10" s="77" t="s">
        <v>449</v>
      </c>
    </row>
    <row r="11" customFormat="false" ht="30" hidden="false" customHeight="true" outlineLevel="0" collapsed="false">
      <c r="B11" s="77" t="s">
        <v>93</v>
      </c>
      <c r="C11" s="77" t="s">
        <v>57</v>
      </c>
      <c r="D11" s="84" t="n">
        <f aca="false">'Декомпозиция цикла'!$D$47</f>
        <v>0.2</v>
      </c>
      <c r="E11" s="84" t="n">
        <f aca="false">'Декомпозиция цикла'!$E$47</f>
        <v>0.3</v>
      </c>
      <c r="F11" s="84" t="n">
        <f aca="false">'Декомпозиция цикла'!$F$47</f>
        <v>0.4</v>
      </c>
      <c r="G11" s="77" t="s">
        <v>459</v>
      </c>
      <c r="H11" s="77" t="s">
        <v>460</v>
      </c>
      <c r="I11" s="81" t="s">
        <v>95</v>
      </c>
      <c r="J11" s="81" t="s">
        <v>83</v>
      </c>
      <c r="K11" s="81" t="s">
        <v>52</v>
      </c>
      <c r="M11" s="77" t="s">
        <v>454</v>
      </c>
      <c r="N11" s="77" t="s">
        <v>444</v>
      </c>
    </row>
    <row r="12" customFormat="false" ht="42.75" hidden="false" customHeight="true" outlineLevel="0" collapsed="false">
      <c r="B12" s="77" t="s">
        <v>100</v>
      </c>
      <c r="C12" s="77" t="s">
        <v>57</v>
      </c>
      <c r="D12" s="84" t="n">
        <f aca="false">'Декомпозиция цикла'!$D$50</f>
        <v>0.01</v>
      </c>
      <c r="E12" s="84" t="n">
        <f aca="false">'Декомпозиция цикла'!$E$50</f>
        <v>0.015</v>
      </c>
      <c r="F12" s="84" t="n">
        <f aca="false">'Декомпозиция цикла'!$F$50</f>
        <v>0.02</v>
      </c>
      <c r="G12" s="77" t="s">
        <v>461</v>
      </c>
      <c r="H12" s="77" t="s">
        <v>453</v>
      </c>
      <c r="I12" s="81" t="s">
        <v>102</v>
      </c>
      <c r="J12" s="81" t="s">
        <v>52</v>
      </c>
      <c r="M12" s="77" t="s">
        <v>462</v>
      </c>
      <c r="N12" s="77" t="s">
        <v>463</v>
      </c>
    </row>
    <row r="13" customFormat="false" ht="42.75" hidden="false" customHeight="true" outlineLevel="0" collapsed="false">
      <c r="B13" s="77" t="s">
        <v>128</v>
      </c>
      <c r="C13" s="77" t="s">
        <v>57</v>
      </c>
      <c r="D13" s="84" t="n">
        <f aca="false">'Декомпозиция цикла'!$D$67</f>
        <v>0.6</v>
      </c>
      <c r="E13" s="84" t="n">
        <f aca="false">'Декомпозиция цикла'!$E$67</f>
        <v>0.7</v>
      </c>
      <c r="F13" s="84" t="n">
        <f aca="false">'Декомпозиция цикла'!$F$67</f>
        <v>0.8</v>
      </c>
      <c r="G13" s="77" t="s">
        <v>464</v>
      </c>
      <c r="H13" s="77" t="s">
        <v>453</v>
      </c>
      <c r="I13" s="81" t="s">
        <v>130</v>
      </c>
      <c r="J13" s="81" t="s">
        <v>465</v>
      </c>
      <c r="M13" s="77" t="s">
        <v>466</v>
      </c>
      <c r="N13" s="77" t="s">
        <v>439</v>
      </c>
    </row>
    <row r="14" customFormat="false" ht="42.75" hidden="false" customHeight="true" outlineLevel="0" collapsed="false">
      <c r="B14" s="77" t="s">
        <v>131</v>
      </c>
      <c r="C14" s="77" t="s">
        <v>57</v>
      </c>
      <c r="D14" s="84" t="n">
        <f aca="false">'Декомпозиция цикла'!$D$68</f>
        <v>0.25</v>
      </c>
      <c r="E14" s="84" t="n">
        <f aca="false">'Декомпозиция цикла'!$E$68</f>
        <v>0.35</v>
      </c>
      <c r="F14" s="84" t="n">
        <f aca="false">'Декомпозиция цикла'!$F$68</f>
        <v>0.45</v>
      </c>
      <c r="G14" s="77" t="s">
        <v>467</v>
      </c>
      <c r="H14" s="77" t="s">
        <v>453</v>
      </c>
      <c r="I14" s="81" t="s">
        <v>52</v>
      </c>
      <c r="M14" s="77" t="s">
        <v>448</v>
      </c>
      <c r="N14" s="77" t="s">
        <v>463</v>
      </c>
    </row>
    <row r="15" customFormat="false" ht="42.75" hidden="false" customHeight="true" outlineLevel="0" collapsed="false">
      <c r="B15" s="77" t="s">
        <v>122</v>
      </c>
      <c r="C15" s="77" t="s">
        <v>57</v>
      </c>
      <c r="D15" s="84" t="n">
        <f aca="false">'Декомпозиция цикла'!$D$64</f>
        <v>0.01</v>
      </c>
      <c r="E15" s="84" t="n">
        <f aca="false">'Декомпозиция цикла'!$E$64</f>
        <v>0.015</v>
      </c>
      <c r="F15" s="84" t="n">
        <f aca="false">'Декомпозиция цикла'!$F$64</f>
        <v>0.02</v>
      </c>
      <c r="G15" s="77" t="s">
        <v>468</v>
      </c>
      <c r="H15" s="77" t="s">
        <v>453</v>
      </c>
      <c r="I15" s="81" t="s">
        <v>124</v>
      </c>
      <c r="M15" s="77" t="s">
        <v>469</v>
      </c>
      <c r="N15" s="77" t="s">
        <v>463</v>
      </c>
    </row>
    <row r="16" customFormat="false" ht="30" hidden="false" customHeight="true" outlineLevel="0" collapsed="false">
      <c r="B16" s="77" t="s">
        <v>165</v>
      </c>
      <c r="C16" s="77" t="s">
        <v>57</v>
      </c>
      <c r="D16" s="84" t="n">
        <f aca="false">'Декомпозиция цикла'!$D$93</f>
        <v>0.15</v>
      </c>
      <c r="E16" s="84" t="n">
        <f aca="false">'Декомпозиция цикла'!$E$93</f>
        <v>0.1</v>
      </c>
      <c r="F16" s="84" t="n">
        <f aca="false">'Декомпозиция цикла'!$F$93</f>
        <v>0.08</v>
      </c>
      <c r="G16" s="77" t="s">
        <v>470</v>
      </c>
      <c r="H16" s="77" t="s">
        <v>453</v>
      </c>
      <c r="I16" s="81" t="s">
        <v>83</v>
      </c>
      <c r="M16" s="77" t="s">
        <v>471</v>
      </c>
      <c r="N16" s="77" t="s">
        <v>463</v>
      </c>
    </row>
    <row r="17" customFormat="false" ht="55.5" hidden="false" customHeight="true" outlineLevel="0" collapsed="false">
      <c r="B17" s="77" t="s">
        <v>177</v>
      </c>
      <c r="C17" s="77" t="s">
        <v>57</v>
      </c>
      <c r="D17" s="84" t="n">
        <f aca="false">'Декомпозиция цикла'!$D$101</f>
        <v>0.1</v>
      </c>
      <c r="E17" s="84" t="n">
        <f aca="false">'Декомпозиция цикла'!$E$101</f>
        <v>0.15</v>
      </c>
      <c r="F17" s="84" t="n">
        <f aca="false">'Декомпозиция цикла'!$F$101</f>
        <v>0.2</v>
      </c>
      <c r="G17" s="77" t="s">
        <v>472</v>
      </c>
      <c r="H17" s="77" t="s">
        <v>473</v>
      </c>
      <c r="I17" s="81" t="s">
        <v>179</v>
      </c>
      <c r="J17" s="81" t="s">
        <v>52</v>
      </c>
      <c r="M17" s="77" t="s">
        <v>462</v>
      </c>
      <c r="N17" s="77" t="s">
        <v>444</v>
      </c>
    </row>
    <row r="18" customFormat="false" ht="30" hidden="false" customHeight="true" outlineLevel="0" collapsed="false">
      <c r="B18" s="77" t="s">
        <v>192</v>
      </c>
      <c r="C18" s="77" t="s">
        <v>57</v>
      </c>
      <c r="D18" s="84" t="n">
        <f aca="false">'Декомпозиция цикла'!$D$110</f>
        <v>0.35</v>
      </c>
      <c r="E18" s="84" t="n">
        <f aca="false">'Декомпозиция цикла'!$E$110</f>
        <v>0.45</v>
      </c>
      <c r="F18" s="84" t="n">
        <f aca="false">'Декомпозиция цикла'!$F$110</f>
        <v>0.55</v>
      </c>
      <c r="G18" s="77" t="s">
        <v>474</v>
      </c>
      <c r="H18" s="77" t="s">
        <v>453</v>
      </c>
      <c r="I18" s="81" t="s">
        <v>83</v>
      </c>
      <c r="J18" s="81" t="s">
        <v>83</v>
      </c>
      <c r="M18" s="77" t="s">
        <v>475</v>
      </c>
      <c r="N18" s="77" t="s">
        <v>449</v>
      </c>
    </row>
    <row r="19" customFormat="false" ht="42.75" hidden="false" customHeight="true" outlineLevel="0" collapsed="false">
      <c r="B19" s="77" t="s">
        <v>187</v>
      </c>
      <c r="C19" s="77" t="s">
        <v>14</v>
      </c>
      <c r="D19" s="83" t="n">
        <f aca="false">'Декомпозиция цикла'!$D$107</f>
        <v>1.5</v>
      </c>
      <c r="E19" s="83" t="n">
        <f aca="false">'Декомпозиция цикла'!$E$107</f>
        <v>1</v>
      </c>
      <c r="F19" s="83" t="n">
        <f aca="false">'Декомпозиция цикла'!$F$107</f>
        <v>0.7</v>
      </c>
      <c r="G19" s="77" t="s">
        <v>476</v>
      </c>
      <c r="H19" s="77" t="s">
        <v>436</v>
      </c>
      <c r="I19" s="81" t="s">
        <v>189</v>
      </c>
      <c r="J19" s="81" t="s">
        <v>71</v>
      </c>
      <c r="M19" s="77" t="s">
        <v>448</v>
      </c>
      <c r="N19" s="77" t="s">
        <v>444</v>
      </c>
    </row>
    <row r="20" customFormat="false" ht="42.75" hidden="false" customHeight="true" outlineLevel="0" collapsed="false">
      <c r="B20" s="77" t="s">
        <v>203</v>
      </c>
      <c r="C20" s="77" t="s">
        <v>57</v>
      </c>
      <c r="D20" s="84" t="n">
        <f aca="false">'Декомпозиция цикла'!$D$137</f>
        <v>0.35</v>
      </c>
      <c r="E20" s="84" t="n">
        <f aca="false">'Декомпозиция цикла'!$E$137</f>
        <v>0.3</v>
      </c>
      <c r="F20" s="84" t="n">
        <f aca="false">'Декомпозиция цикла'!$F$137</f>
        <v>0.25</v>
      </c>
      <c r="G20" s="77" t="s">
        <v>477</v>
      </c>
      <c r="H20" s="77" t="s">
        <v>436</v>
      </c>
      <c r="I20" s="81" t="s">
        <v>52</v>
      </c>
      <c r="J20" s="81" t="s">
        <v>478</v>
      </c>
      <c r="K20" s="81" t="s">
        <v>479</v>
      </c>
      <c r="L20" s="81" t="s">
        <v>480</v>
      </c>
      <c r="M20" s="77" t="s">
        <v>462</v>
      </c>
      <c r="N20" s="77" t="s">
        <v>444</v>
      </c>
    </row>
    <row r="21" customFormat="false" ht="55.5" hidden="false" customHeight="true" outlineLevel="0" collapsed="false">
      <c r="B21" s="77" t="s">
        <v>211</v>
      </c>
      <c r="C21" s="77" t="s">
        <v>57</v>
      </c>
      <c r="D21" s="84" t="n">
        <f aca="false">'Декомпозиция цикла'!$D$141</f>
        <v>0.15</v>
      </c>
      <c r="E21" s="84" t="n">
        <f aca="false">'Декомпозиция цикла'!$E$141</f>
        <v>0.1</v>
      </c>
      <c r="F21" s="84" t="n">
        <f aca="false">'Декомпозиция цикла'!$F$141</f>
        <v>0.06</v>
      </c>
      <c r="G21" s="77" t="s">
        <v>481</v>
      </c>
      <c r="H21" s="77" t="s">
        <v>451</v>
      </c>
      <c r="I21" s="81" t="s">
        <v>52</v>
      </c>
      <c r="J21" s="81" t="s">
        <v>482</v>
      </c>
      <c r="K21" s="81" t="s">
        <v>483</v>
      </c>
      <c r="M21" s="77" t="s">
        <v>462</v>
      </c>
      <c r="N21" s="77" t="s">
        <v>463</v>
      </c>
    </row>
    <row r="22" customFormat="false" ht="42.75" hidden="false" customHeight="true" outlineLevel="0" collapsed="false">
      <c r="B22" s="77" t="s">
        <v>222</v>
      </c>
      <c r="C22" s="77" t="s">
        <v>57</v>
      </c>
      <c r="D22" s="84" t="n">
        <f aca="false">'Декомпозиция цикла'!$D$146</f>
        <v>0.25</v>
      </c>
      <c r="E22" s="84" t="n">
        <f aca="false">'Декомпозиция цикла'!$E$146</f>
        <v>0.15</v>
      </c>
      <c r="F22" s="84" t="n">
        <f aca="false">'Декомпозиция цикла'!$F$146</f>
        <v>0.1</v>
      </c>
      <c r="G22" s="77" t="s">
        <v>484</v>
      </c>
      <c r="H22" s="77" t="s">
        <v>453</v>
      </c>
      <c r="I22" s="81" t="s">
        <v>219</v>
      </c>
      <c r="M22" s="77" t="s">
        <v>485</v>
      </c>
      <c r="N22" s="77" t="s">
        <v>463</v>
      </c>
    </row>
    <row r="23" customFormat="false" ht="30" hidden="false" customHeight="true" outlineLevel="0" collapsed="false">
      <c r="B23" s="77" t="s">
        <v>208</v>
      </c>
      <c r="C23" s="77" t="s">
        <v>57</v>
      </c>
      <c r="D23" s="84" t="n">
        <f aca="false">'Декомпозиция цикла'!$D$140</f>
        <v>0.02</v>
      </c>
      <c r="E23" s="84" t="n">
        <f aca="false">'Декомпозиция цикла'!$E$140</f>
        <v>0.015</v>
      </c>
      <c r="F23" s="84" t="n">
        <f aca="false">'Декомпозиция цикла'!$F$140</f>
        <v>0.01</v>
      </c>
      <c r="G23" s="77" t="s">
        <v>486</v>
      </c>
      <c r="H23" s="77" t="s">
        <v>436</v>
      </c>
      <c r="I23" s="81" t="s">
        <v>210</v>
      </c>
      <c r="J23" s="81" t="s">
        <v>83</v>
      </c>
      <c r="K23" s="81" t="s">
        <v>482</v>
      </c>
      <c r="M23" s="77" t="s">
        <v>448</v>
      </c>
      <c r="N23" s="77" t="s">
        <v>487</v>
      </c>
    </row>
    <row r="24" customFormat="false" ht="27.75" hidden="false" customHeight="true" outlineLevel="0" collapsed="false">
      <c r="B24" s="77" t="s">
        <v>224</v>
      </c>
      <c r="C24" s="77" t="s">
        <v>57</v>
      </c>
      <c r="D24" s="84" t="n">
        <f aca="false">'Декомпозиция цикла'!$D$147</f>
        <v>0.08</v>
      </c>
      <c r="E24" s="84" t="n">
        <f aca="false">'Декомпозиция цикла'!$E$147</f>
        <v>0.05</v>
      </c>
      <c r="F24" s="84" t="n">
        <f aca="false">'Декомпозиция цикла'!$F$147</f>
        <v>0.03</v>
      </c>
      <c r="G24" s="77" t="s">
        <v>488</v>
      </c>
      <c r="H24" s="77" t="s">
        <v>489</v>
      </c>
      <c r="I24" s="81" t="s">
        <v>52</v>
      </c>
      <c r="M24" s="77" t="s">
        <v>438</v>
      </c>
      <c r="N24" s="77" t="s">
        <v>463</v>
      </c>
    </row>
    <row r="25" customFormat="false" ht="30" hidden="false" customHeight="true" outlineLevel="0" collapsed="false">
      <c r="B25" s="77" t="s">
        <v>249</v>
      </c>
      <c r="C25" s="77" t="s">
        <v>14</v>
      </c>
      <c r="D25" s="82" t="n">
        <f aca="false">'Декомпозиция цикла'!$D$174</f>
        <v>1300</v>
      </c>
      <c r="E25" s="82" t="n">
        <f aca="false">'Декомпозиция цикла'!$E$174</f>
        <v>1300</v>
      </c>
      <c r="F25" s="82" t="n">
        <f aca="false">'Декомпозиция цикла'!$F$174</f>
        <v>1300</v>
      </c>
      <c r="G25" s="77" t="s">
        <v>490</v>
      </c>
      <c r="H25" s="77" t="s">
        <v>436</v>
      </c>
      <c r="I25" s="81" t="s">
        <v>251</v>
      </c>
      <c r="M25" s="77" t="s">
        <v>491</v>
      </c>
      <c r="N25" s="77" t="s">
        <v>444</v>
      </c>
    </row>
    <row r="26" customFormat="false" ht="30" hidden="false" customHeight="true" outlineLevel="0" collapsed="false">
      <c r="B26" s="77" t="s">
        <v>257</v>
      </c>
      <c r="C26" s="77" t="s">
        <v>14</v>
      </c>
      <c r="D26" s="83" t="n">
        <f aca="false">'Декомпозиция цикла'!$D$177</f>
        <v>0.05</v>
      </c>
      <c r="E26" s="83" t="n">
        <f aca="false">'Декомпозиция цикла'!$E$177</f>
        <v>0.05</v>
      </c>
      <c r="F26" s="83" t="n">
        <f aca="false">'Декомпозиция цикла'!$F$177</f>
        <v>0.05</v>
      </c>
      <c r="G26" s="77" t="s">
        <v>492</v>
      </c>
      <c r="H26" s="77" t="s">
        <v>453</v>
      </c>
      <c r="I26" s="81" t="s">
        <v>259</v>
      </c>
      <c r="M26" s="77" t="s">
        <v>462</v>
      </c>
      <c r="N26" s="77" t="s">
        <v>463</v>
      </c>
    </row>
    <row r="27" customFormat="false" ht="27.75" hidden="false" customHeight="true" outlineLevel="0" collapsed="false">
      <c r="B27" s="77" t="s">
        <v>262</v>
      </c>
      <c r="C27" s="77" t="s">
        <v>57</v>
      </c>
      <c r="D27" s="84" t="n">
        <f aca="false">'Декомпозиция цикла'!$D$179</f>
        <v>0.1</v>
      </c>
      <c r="E27" s="84" t="n">
        <f aca="false">'Декомпозиция цикла'!$E$179</f>
        <v>0.1</v>
      </c>
      <c r="F27" s="84" t="n">
        <f aca="false">'Декомпозиция цикла'!$F$179</f>
        <v>0.1</v>
      </c>
      <c r="G27" s="77" t="s">
        <v>493</v>
      </c>
      <c r="H27" s="77" t="s">
        <v>489</v>
      </c>
      <c r="I27" s="81" t="s">
        <v>52</v>
      </c>
      <c r="M27" s="77" t="s">
        <v>438</v>
      </c>
      <c r="N27" s="77" t="s">
        <v>463</v>
      </c>
    </row>
    <row r="28" customFormat="false" ht="30" hidden="false" customHeight="true" outlineLevel="0" collapsed="false">
      <c r="B28" s="77" t="s">
        <v>260</v>
      </c>
      <c r="C28" s="77" t="s">
        <v>14</v>
      </c>
      <c r="D28" s="82" t="n">
        <f aca="false">'Декомпозиция цикла'!$D$178</f>
        <v>300</v>
      </c>
      <c r="E28" s="82" t="n">
        <f aca="false">'Декомпозиция цикла'!$E$178</f>
        <v>300</v>
      </c>
      <c r="F28" s="82" t="n">
        <f aca="false">'Декомпозиция цикла'!$F$178</f>
        <v>300</v>
      </c>
      <c r="G28" s="77" t="s">
        <v>494</v>
      </c>
      <c r="H28" s="77" t="s">
        <v>489</v>
      </c>
      <c r="I28" s="22" t="s">
        <v>489</v>
      </c>
      <c r="M28" s="77" t="s">
        <v>489</v>
      </c>
      <c r="N28" s="77" t="s">
        <v>463</v>
      </c>
    </row>
    <row r="29" customFormat="false" ht="30" hidden="false" customHeight="true" outlineLevel="0" collapsed="false">
      <c r="B29" s="77" t="s">
        <v>268</v>
      </c>
      <c r="C29" s="77" t="s">
        <v>14</v>
      </c>
      <c r="D29" s="82" t="n">
        <f aca="false">'Декомпозиция цикла'!$D$182</f>
        <v>15</v>
      </c>
      <c r="E29" s="82" t="n">
        <f aca="false">'Декомпозиция цикла'!$E$182</f>
        <v>15</v>
      </c>
      <c r="F29" s="82" t="n">
        <f aca="false">'Декомпозиция цикла'!$F$182</f>
        <v>15</v>
      </c>
      <c r="G29" s="77" t="s">
        <v>495</v>
      </c>
      <c r="H29" s="77" t="s">
        <v>489</v>
      </c>
      <c r="I29" s="81" t="s">
        <v>52</v>
      </c>
      <c r="M29" s="77" t="s">
        <v>438</v>
      </c>
      <c r="N29" s="77" t="s">
        <v>463</v>
      </c>
    </row>
    <row r="30" customFormat="false" ht="42.75" hidden="false" customHeight="true" outlineLevel="0" collapsed="false">
      <c r="B30" s="77" t="s">
        <v>270</v>
      </c>
      <c r="C30" s="77" t="s">
        <v>57</v>
      </c>
      <c r="D30" s="84" t="n">
        <f aca="false">'Декомпозиция цикла'!$D$183</f>
        <v>0.04</v>
      </c>
      <c r="E30" s="84" t="n">
        <f aca="false">'Декомпозиция цикла'!$E$183</f>
        <v>0.04</v>
      </c>
      <c r="F30" s="84" t="n">
        <f aca="false">'Декомпозиция цикла'!$F$183</f>
        <v>0.04</v>
      </c>
      <c r="G30" s="77" t="s">
        <v>496</v>
      </c>
      <c r="H30" s="77" t="s">
        <v>436</v>
      </c>
      <c r="I30" s="81" t="s">
        <v>272</v>
      </c>
      <c r="J30" s="81" t="s">
        <v>478</v>
      </c>
      <c r="K30" s="81" t="s">
        <v>272</v>
      </c>
      <c r="M30" s="77" t="s">
        <v>448</v>
      </c>
      <c r="N30" s="77" t="s">
        <v>439</v>
      </c>
    </row>
    <row r="31" customFormat="false" ht="42.75" hidden="false" customHeight="true" outlineLevel="0" collapsed="false">
      <c r="B31" s="77" t="s">
        <v>275</v>
      </c>
      <c r="C31" s="77" t="s">
        <v>57</v>
      </c>
      <c r="D31" s="84" t="n">
        <f aca="false">'Декомпозиция цикла'!$D$185</f>
        <v>0.1</v>
      </c>
      <c r="E31" s="84" t="n">
        <f aca="false">'Декомпозиция цикла'!$E$185</f>
        <v>0.1</v>
      </c>
      <c r="F31" s="84" t="n">
        <f aca="false">'Декомпозиция цикла'!$F$185</f>
        <v>0.1</v>
      </c>
      <c r="G31" s="77" t="s">
        <v>497</v>
      </c>
      <c r="H31" s="77" t="s">
        <v>436</v>
      </c>
      <c r="I31" s="81" t="s">
        <v>277</v>
      </c>
      <c r="J31" s="81" t="s">
        <v>52</v>
      </c>
      <c r="M31" s="77" t="s">
        <v>498</v>
      </c>
      <c r="N31" s="77" t="s">
        <v>439</v>
      </c>
    </row>
    <row r="32" customFormat="false" ht="42.75" hidden="false" customHeight="true" outlineLevel="0" collapsed="false">
      <c r="B32" s="77" t="s">
        <v>252</v>
      </c>
      <c r="C32" s="77" t="s">
        <v>14</v>
      </c>
      <c r="D32" s="82" t="n">
        <f aca="false">'Декомпозиция цикла'!$D$175</f>
        <v>0</v>
      </c>
      <c r="E32" s="82" t="n">
        <f aca="false">'Декомпозиция цикла'!$E$175</f>
        <v>0</v>
      </c>
      <c r="F32" s="82" t="n">
        <f aca="false">'Декомпозиция цикла'!$F$175</f>
        <v>0</v>
      </c>
      <c r="G32" s="77" t="s">
        <v>499</v>
      </c>
      <c r="H32" s="77" t="s">
        <v>436</v>
      </c>
      <c r="I32" s="81" t="s">
        <v>254</v>
      </c>
      <c r="J32" s="81" t="s">
        <v>52</v>
      </c>
      <c r="M32" s="77" t="s">
        <v>448</v>
      </c>
      <c r="N32" s="77" t="s">
        <v>444</v>
      </c>
    </row>
  </sheetData>
  <mergeCells count="1">
    <mergeCell ref="B2:I2"/>
  </mergeCells>
  <hyperlinks>
    <hyperlink ref="I5" r:id="rId1" display="cbu.uz"/>
    <hyperlink ref="J5" r:id="rId2" display="uz.kursiv.media"/>
    <hyperlink ref="I6" r:id="rId3" display="бриф рынка"/>
    <hyperlink ref="J6" r:id="rId4" display="moxieschool.uz"/>
    <hyperlink ref="K6" r:id="rId5" display="sensorika.academy"/>
    <hyperlink ref="L6" r:id="rId6" display="brains.uz"/>
    <hyperlink ref="I7" r:id="rId7" display="aksanov.digital"/>
    <hyperlink ref="J7" r:id="rId8" display="101digital.uz"/>
    <hyperlink ref="K7" r:id="rId9" display="xyzlab.com"/>
    <hyperlink ref="L7" r:id="rId10" display="unika-agency.com"/>
    <hyperlink ref="I8" r:id="rId11" display="101digital.uz"/>
    <hyperlink ref="J8" r:id="rId12" display="vc.ru"/>
    <hyperlink ref="I9" r:id="rId13" display="vc.ru"/>
    <hyperlink ref="J9" r:id="rId14" display="vc.ru"/>
    <hyperlink ref="I10" r:id="rId15" display="aksanov.digital"/>
    <hyperlink ref="J10" r:id="rId16" display="unika-agency.com"/>
    <hyperlink ref="K10" r:id="rId17" display="t.me"/>
    <hyperlink ref="L10" r:id="rId18" display="vc.ru"/>
    <hyperlink ref="I11" r:id="rId19" display="sostav.ru"/>
    <hyperlink ref="J11" r:id="rId20" display="vc.ru"/>
    <hyperlink ref="K11" r:id="rId21" display="бриф рынка"/>
    <hyperlink ref="I12" r:id="rId22" display="skillspace.ru"/>
    <hyperlink ref="J12" r:id="rId23" display="бриф рынка"/>
    <hyperlink ref="I13" r:id="rId24" display="getcourse.ru"/>
    <hyperlink ref="J13" r:id="rId25" display="noboring-finance.ru"/>
    <hyperlink ref="I14" r:id="rId26" display="бриф рынка"/>
    <hyperlink ref="I15" r:id="rId27" display="sellergpt.ru"/>
    <hyperlink ref="I16" r:id="rId28" display="vc.ru"/>
    <hyperlink ref="I17" r:id="rId29" display="telesputnik.ru"/>
    <hyperlink ref="J17" r:id="rId30" display="бриф рынка"/>
    <hyperlink ref="I18" r:id="rId31" display="vc.ru"/>
    <hyperlink ref="J18" r:id="rId32" display="vc.ru"/>
    <hyperlink ref="I19" r:id="rId33" display="telegrad.uz"/>
    <hyperlink ref="J19" r:id="rId34" display="aksanov.digital"/>
    <hyperlink ref="I20" r:id="rId35" display="бриф рынка"/>
    <hyperlink ref="J20" r:id="rId36" display="spot.uz"/>
    <hyperlink ref="K20" r:id="rId37" display="uzum.uz"/>
    <hyperlink ref="L20" r:id="rId38" display="yuz.uz"/>
    <hyperlink ref="I21" r:id="rId39" display="бриф рынка"/>
    <hyperlink ref="J21" r:id="rId40" display="gazeta.uz"/>
    <hyperlink ref="K21" r:id="rId41" display="prodamus.ru"/>
    <hyperlink ref="I22" r:id="rId42" display="blog.whiteedtech.ru"/>
    <hyperlink ref="I23" r:id="rId43" display="uzneo.uz"/>
    <hyperlink ref="J23" r:id="rId44" display="vc.ru"/>
    <hyperlink ref="K23" r:id="rId45" display="gazeta.uz"/>
    <hyperlink ref="I24" r:id="rId46" display="бриф рынка"/>
    <hyperlink ref="I25" r:id="rId47" display="innosoft.uz"/>
    <hyperlink ref="I26" r:id="rId48" display="botseller.ai"/>
    <hyperlink ref="I27" r:id="rId49" display="бриф рынка"/>
    <hyperlink ref="I29" r:id="rId50" display="бриф рынка"/>
    <hyperlink ref="I30" r:id="rId51" display="buxgalter.uz"/>
    <hyperlink ref="J30" r:id="rId52" display="spot.uz"/>
    <hyperlink ref="K30" r:id="rId53" display="buxgalter.uz"/>
    <hyperlink ref="I31" r:id="rId54" display="taxsummaries.pwc.com"/>
    <hyperlink ref="J31" r:id="rId55" display="бриф рынка"/>
    <hyperlink ref="I32" r:id="rId56" display="azma.uz"/>
    <hyperlink ref="J32" r:id="rId57" display="бриф рынк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2026-09-15T19:43:22Z</dcterms:created>
  <dc:creator>openpyxl</dc:creator>
  <dc:description/>
  <dc:language>en-US</dc:language>
  <cp:lastModifiedBy/>
  <dcterms:modified xsi:type="dcterms:W3CDTF">2026-09-15T19:43:22Z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