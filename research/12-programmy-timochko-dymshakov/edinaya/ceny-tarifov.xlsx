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Цены тарифов" sheetId="1" state="visible" r:id="rId3"/>
    <sheet name="Услуги" sheetId="2" state="visible" r:id="rId4"/>
    <sheet name="Варианты цен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<sst xmlns="http://schemas.openxmlformats.org/spreadsheetml/2006/main" count="191" uniqueCount="109">
  <si>
    <t xml:space="preserve">Цены тарифов «Первый заказ на ИИ»: рубли, сумы, доллары</t>
  </si>
  <si>
    <t xml:space="preserve">Синий шрифт — вводишь сам. Чёрный — считает формула. Жёлтая заливка — главные допущения. Поменяй курс или наценку, и все цены пересчитаются.</t>
  </si>
  <si>
    <t xml:space="preserve">Исходные данные</t>
  </si>
  <si>
    <t xml:space="preserve">Дата курса ЦБ Узбекистана</t>
  </si>
  <si>
    <t xml:space="preserve">cbu.uz/ru/arkhiv-kursov-valyut/json/</t>
  </si>
  <si>
    <t xml:space="preserve">1 доллар = сум</t>
  </si>
  <si>
    <t xml:space="preserve">1 рубль = сум</t>
  </si>
  <si>
    <t xml:space="preserve">1 доллар = рублей (считается)</t>
  </si>
  <si>
    <t xml:space="preserve">Наценка «Зрителям эфира» к спеццене</t>
  </si>
  <si>
    <t xml:space="preserve">Итог созвона 28.09: +25%. Другие варианты — лист «Варианты цен»</t>
  </si>
  <si>
    <t xml:space="preserve">Наценка «Обычная» к спеццене</t>
  </si>
  <si>
    <t xml:space="preserve">Итог созвона 28.09: +75%</t>
  </si>
  <si>
    <t xml:space="preserve">Округление сумов, как в презентации</t>
  </si>
  <si>
    <t xml:space="preserve">Тариф</t>
  </si>
  <si>
    <t xml:space="preserve">Шаг округления, сум</t>
  </si>
  <si>
    <t xml:space="preserve">Хвост, сум</t>
  </si>
  <si>
    <t xml:space="preserve">Как выглядит цена</t>
  </si>
  <si>
    <t xml:space="preserve">Базовый</t>
  </si>
  <si>
    <t xml:space="preserve">…9 000</t>
  </si>
  <si>
    <t xml:space="preserve">Про</t>
  </si>
  <si>
    <t xml:space="preserve">Наставничество</t>
  </si>
  <si>
    <t xml:space="preserve">…90 000</t>
  </si>
  <si>
    <t xml:space="preserve">1. Цены в рублях — итог созвона 28.09.2026</t>
  </si>
  <si>
    <t xml:space="preserve">Спеццена (24 часа после эфира), ₽</t>
  </si>
  <si>
    <t xml:space="preserve">Зрителям эфира, ₽</t>
  </si>
  <si>
    <t xml:space="preserve">Обычная, ₽</t>
  </si>
  <si>
    <t xml:space="preserve">2. Цены в сумах — точный пересчёт (рубли × курс)</t>
  </si>
  <si>
    <t xml:space="preserve">Спеццена (24 часа после эфира), сум</t>
  </si>
  <si>
    <t xml:space="preserve">Зрителям эфира, сум</t>
  </si>
  <si>
    <t xml:space="preserve">Обычная, сум</t>
  </si>
  <si>
    <t xml:space="preserve">3. Цены в сумах — как в презентации (округлено)</t>
  </si>
  <si>
    <t xml:space="preserve">4. Цены в долларах — пересчёт цен из презентации (сумы ÷ курс, до целого доллара)</t>
  </si>
  <si>
    <t xml:space="preserve">Спеццена (24 часа после эфира), $</t>
  </si>
  <si>
    <t xml:space="preserve">Зрителям эфира, $</t>
  </si>
  <si>
    <t xml:space="preserve">Обычная, $</t>
  </si>
  <si>
    <t xml:space="preserve">5. Цены в долларах — круглые, если продавать именно в долларах (предложение Claude)</t>
  </si>
  <si>
    <t xml:space="preserve">«Зрителям» к спеццене</t>
  </si>
  <si>
    <t xml:space="preserve">«Обычная» к спеццене</t>
  </si>
  <si>
    <t xml:space="preserve">Спеццена к пересчёту</t>
  </si>
  <si>
    <t xml:space="preserve">Если оплата идёт в сумах, доллар — только ориентир со знаком ≈: курс изменится.</t>
  </si>
  <si>
    <t xml:space="preserve">6. Круглые доллары в сумах по курсу (сколько это выйдет в сумах)</t>
  </si>
  <si>
    <t xml:space="preserve">Спеццена, сум</t>
  </si>
  <si>
    <t xml:space="preserve">Откуда данные и оговорки</t>
  </si>
  <si>
    <t xml:space="preserve">Курс — ЦБ Узбекистана на 29.09.2026: доллар 11 806,97 сум, рубль 139,86 сум (cbu.uz/ru/arkhiv-kursov-valyut/json/).</t>
  </si>
  <si>
    <t xml:space="preserve">Спеццены 4 900 / 12 000 / 100 000 ₽ и наценки +25% / +75% — итог созвона Васи и Никиты Попко 28.09.2026 («Новая запись 2»).</t>
  </si>
  <si>
    <t xml:space="preserve">Сумы считаются из рублей и округляются так же, как на слайде «Тарифы» в презентации «Первый заказ на ИИ».</t>
  </si>
  <si>
    <t xml:space="preserve">Круглые доллары (блок 5) — предложение Claude, не решение созвона. Для «Про» взято $139, а не $149: $149 дороже пересчёта примерно на 5%.</t>
  </si>
  <si>
    <t xml:space="preserve">Файл программы: research/12-programmy-timochko-dymshakov/edinaya/programma-edinaya.md, Приложение 2.</t>
  </si>
  <si>
    <t xml:space="preserve">Сколько платят за услуги: рубли (созвон) → сумы → доллары</t>
  </si>
  <si>
    <t xml:space="preserve">Курс берётся с листа «Цены тарифов» (зелёный). Рубли из созвона — синие, их можно менять.</t>
  </si>
  <si>
    <t xml:space="preserve">Услуга</t>
  </si>
  <si>
    <t xml:space="preserve">За что платят</t>
  </si>
  <si>
    <t xml:space="preserve">От, ₽</t>
  </si>
  <si>
    <t xml:space="preserve">До, ₽</t>
  </si>
  <si>
    <t xml:space="preserve">От, сум</t>
  </si>
  <si>
    <t xml:space="preserve">До, сум</t>
  </si>
  <si>
    <t xml:space="preserve">От, $</t>
  </si>
  <si>
    <t xml:space="preserve">До, $</t>
  </si>
  <si>
    <t xml:space="preserve">Как написано в презентации (на 29.09.2026)</t>
  </si>
  <si>
    <t xml:space="preserve">Чат-бот для бизнеса</t>
  </si>
  <si>
    <t xml:space="preserve">за проект</t>
  </si>
  <si>
    <t xml:space="preserve">от 700 000 до 7 млн сум за проект</t>
  </si>
  <si>
    <t xml:space="preserve">Сайт</t>
  </si>
  <si>
    <t xml:space="preserve">от 1,4 до 9,8 млн сум за проект</t>
  </si>
  <si>
    <t xml:space="preserve">AI-рилс</t>
  </si>
  <si>
    <t xml:space="preserve">за ролик</t>
  </si>
  <si>
    <t xml:space="preserve">от 70 000 до 700 000 сум за ролик, а одному клиенту их нужно много</t>
  </si>
  <si>
    <t xml:space="preserve">Контент-план</t>
  </si>
  <si>
    <t xml:space="preserve">за план</t>
  </si>
  <si>
    <t xml:space="preserve">от 0,7 до 2,8 млн сум</t>
  </si>
  <si>
    <t xml:space="preserve">Ведение соцсетей</t>
  </si>
  <si>
    <t xml:space="preserve">в месяц</t>
  </si>
  <si>
    <t xml:space="preserve">от 2,8 до 7 млн сум в месяц</t>
  </si>
  <si>
    <t xml:space="preserve">Дизайн</t>
  </si>
  <si>
    <t xml:space="preserve">от 1,4 до 5,6 млн сум в месяц</t>
  </si>
  <si>
    <t xml:space="preserve">Дизайн: разовые задачи</t>
  </si>
  <si>
    <t xml:space="preserve">за задачу</t>
  </si>
  <si>
    <t xml:space="preserve">от 42 000 сум</t>
  </si>
  <si>
    <t xml:space="preserve">Сколько заказов окупают тариф (по спеццене, считаем в рублях)</t>
  </si>
  <si>
    <t xml:space="preserve">Спеццена тарифа, ₽ (с листа «Цены тарифов»)</t>
  </si>
  <si>
    <t xml:space="preserve">По минимальной цене заказа (осторожный расчёт)</t>
  </si>
  <si>
    <t xml:space="preserve">Цена одного заказа, ₽</t>
  </si>
  <si>
    <t xml:space="preserve">Окупает «Базовый», заказов</t>
  </si>
  <si>
    <t xml:space="preserve">Окупает «Про», заказов</t>
  </si>
  <si>
    <t xml:space="preserve">Окупает «Наставничество», заказов</t>
  </si>
  <si>
    <t xml:space="preserve">По максимальной цене заказа</t>
  </si>
  <si>
    <t xml:space="preserve">Цены — со слов Васи на созвоне 28.09.2026 («Новая запись 2»). Пересчёт — по курсу ЦБ Узбекистана на 29.09.2026.</t>
  </si>
  <si>
    <t xml:space="preserve">По Узбекистану сверены только боты и сайты: бот 0,3–10 млн сум, сайт 3–8 млн сум (research/08-miro-kastdevy-segmenty/research/00-svodka-resercha-i-segmenty.md, отчёт 05, первоисточник не перенесён) — не проверено.</t>
  </si>
  <si>
    <t xml:space="preserve">По контенту, рилсам и дизайну данных по Узбекистану в ресёрче проекта нет — не проверено. Пока это цены со слов Васи, не доход учеников.</t>
  </si>
  <si>
    <t xml:space="preserve">«Окупает, заказов» — спеццена тарифа ÷ цена одного заказа в рублях, округлено вверх. Не учитывает время и расходы ученика. В «Базовом» нет AI Reels Maker.</t>
  </si>
  <si>
    <t xml:space="preserve">Варианты ступеней цены: A, B, C</t>
  </si>
  <si>
    <t xml:space="preserve">Спеццена везде одна — из созвона. Меняется только наценка для «Зрителей эфира» и «Обычной». Сумы округляются так же, как в презентации.</t>
  </si>
  <si>
    <t xml:space="preserve">Наценки по вариантам</t>
  </si>
  <si>
    <t xml:space="preserve">Вариант</t>
  </si>
  <si>
    <t xml:space="preserve">«Зрителям эфира» к спеццене</t>
  </si>
  <si>
    <t xml:space="preserve">Откуда</t>
  </si>
  <si>
    <t xml:space="preserve">A — как в презентации</t>
  </si>
  <si>
    <t xml:space="preserve">Итог созвона 28.09</t>
  </si>
  <si>
    <t xml:space="preserve">B — мягкий шаг</t>
  </si>
  <si>
    <t xml:space="preserve">По Дымшакову: меньше похоже на «зачёркнутые» скидки</t>
  </si>
  <si>
    <t xml:space="preserve">C — сильный якорь</t>
  </si>
  <si>
    <t xml:space="preserve">По Тимочко: обычная вдвое выше спеццены</t>
  </si>
  <si>
    <t xml:space="preserve">Спеццена в рублях и округление (с листа «Цены тарифов»)</t>
  </si>
  <si>
    <t xml:space="preserve">Спеццена, ₽</t>
  </si>
  <si>
    <t xml:space="preserve">Вариант A — как в презентации</t>
  </si>
  <si>
    <t xml:space="preserve">Спеццена, $</t>
  </si>
  <si>
    <t xml:space="preserve">Вариант B — мягкий шаг</t>
  </si>
  <si>
    <t xml:space="preserve">Вариант C — сильный якорь</t>
  </si>
  <si>
    <t xml:space="preserve">Вариант C работает, только если «обычную» цену потом реально брать после запуска, иначе это фиктивная скидка.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</si>
</sst>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#,##0.00"/>
    <numFmt numFmtId="167" formatCode="0%"/>
    <numFmt numFmtId="168" formatCode="#,##0"/>
    <numFmt numFmtId="169" formatCode="\$#,##0"/>
    <numFmt numFmtId="170" formatCode="0.0%;\-0.0%;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2"/>
    <col collapsed="false" customWidth="true" hidden="false" outlineLevel="0" max="7" min="5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46294</v>
      </c>
      <c r="C5" s="2" t="s">
        <v>4</v>
      </c>
    </row>
    <row r="6" customFormat="false" ht="15" hidden="false" customHeight="false" outlineLevel="0" collapsed="false">
      <c r="A6" s="4" t="s">
        <v>5</v>
      </c>
      <c r="B6" s="6" t="n">
        <v>11806.97</v>
      </c>
    </row>
    <row r="7" customFormat="false" ht="15" hidden="false" customHeight="false" outlineLevel="0" collapsed="false">
      <c r="A7" s="4" t="s">
        <v>6</v>
      </c>
      <c r="B7" s="6" t="n">
        <v>139.86</v>
      </c>
    </row>
    <row r="8" customFormat="false" ht="15" hidden="false" customHeight="false" outlineLevel="0" collapsed="false">
      <c r="A8" s="4" t="s">
        <v>7</v>
      </c>
      <c r="B8" s="7" t="n">
        <f aca="false">B6/B7</f>
        <v>84.4199199199199</v>
      </c>
    </row>
    <row r="9" customFormat="false" ht="15" hidden="false" customHeight="false" outlineLevel="0" collapsed="false">
      <c r="A9" s="4" t="s">
        <v>8</v>
      </c>
      <c r="B9" s="8" t="n">
        <v>0.25</v>
      </c>
      <c r="C9" s="2" t="s">
        <v>9</v>
      </c>
    </row>
    <row r="10" customFormat="false" ht="15" hidden="false" customHeight="false" outlineLevel="0" collapsed="false">
      <c r="A10" s="4" t="s">
        <v>10</v>
      </c>
      <c r="B10" s="8" t="n">
        <v>0.75</v>
      </c>
      <c r="C10" s="2" t="s">
        <v>11</v>
      </c>
    </row>
    <row r="12" customFormat="false" ht="15" hidden="false" customHeight="false" outlineLevel="0" collapsed="false">
      <c r="A12" s="3" t="s">
        <v>12</v>
      </c>
    </row>
    <row r="13" customFormat="false" ht="42" hidden="false" customHeight="true" outlineLevel="0" collapsed="false">
      <c r="A13" s="9" t="s">
        <v>13</v>
      </c>
      <c r="B13" s="9" t="s">
        <v>14</v>
      </c>
      <c r="C13" s="9" t="s">
        <v>15</v>
      </c>
      <c r="D13" s="9" t="s">
        <v>16</v>
      </c>
    </row>
    <row r="14" customFormat="false" ht="15" hidden="false" customHeight="false" outlineLevel="0" collapsed="false">
      <c r="A14" s="4" t="s">
        <v>17</v>
      </c>
      <c r="B14" s="10" t="n">
        <v>10000</v>
      </c>
      <c r="C14" s="10" t="n">
        <v>1000</v>
      </c>
      <c r="D14" s="11" t="s">
        <v>18</v>
      </c>
    </row>
    <row r="15" customFormat="false" ht="15" hidden="false" customHeight="false" outlineLevel="0" collapsed="false">
      <c r="A15" s="4" t="s">
        <v>19</v>
      </c>
      <c r="B15" s="10" t="n">
        <v>10000</v>
      </c>
      <c r="C15" s="10" t="n">
        <v>1000</v>
      </c>
      <c r="D15" s="11" t="s">
        <v>18</v>
      </c>
    </row>
    <row r="16" customFormat="false" ht="15" hidden="false" customHeight="false" outlineLevel="0" collapsed="false">
      <c r="A16" s="4" t="s">
        <v>20</v>
      </c>
      <c r="B16" s="10" t="n">
        <v>100000</v>
      </c>
      <c r="C16" s="10" t="n">
        <v>10000</v>
      </c>
      <c r="D16" s="11" t="s">
        <v>21</v>
      </c>
    </row>
    <row r="18" customFormat="false" ht="15" hidden="false" customHeight="false" outlineLevel="0" collapsed="false">
      <c r="A18" s="3" t="s">
        <v>22</v>
      </c>
    </row>
    <row r="19" customFormat="false" ht="42" hidden="false" customHeight="true" outlineLevel="0" collapsed="false">
      <c r="A19" s="9" t="s">
        <v>13</v>
      </c>
      <c r="B19" s="9" t="s">
        <v>23</v>
      </c>
      <c r="C19" s="9" t="s">
        <v>24</v>
      </c>
      <c r="D19" s="9" t="s">
        <v>25</v>
      </c>
    </row>
    <row r="20" customFormat="false" ht="15" hidden="false" customHeight="false" outlineLevel="0" collapsed="false">
      <c r="A20" s="4" t="s">
        <v>17</v>
      </c>
      <c r="B20" s="12" t="n">
        <v>4900</v>
      </c>
      <c r="C20" s="13" t="n">
        <f aca="false">B20*(1+$B$9)</f>
        <v>6125</v>
      </c>
      <c r="D20" s="13" t="n">
        <f aca="false">B20*(1+$B$10)</f>
        <v>8575</v>
      </c>
    </row>
    <row r="21" customFormat="false" ht="15" hidden="false" customHeight="false" outlineLevel="0" collapsed="false">
      <c r="A21" s="4" t="s">
        <v>19</v>
      </c>
      <c r="B21" s="12" t="n">
        <v>12000</v>
      </c>
      <c r="C21" s="13" t="n">
        <f aca="false">B21*(1+$B$9)</f>
        <v>15000</v>
      </c>
      <c r="D21" s="13" t="n">
        <f aca="false">B21*(1+$B$10)</f>
        <v>21000</v>
      </c>
    </row>
    <row r="22" customFormat="false" ht="15" hidden="false" customHeight="false" outlineLevel="0" collapsed="false">
      <c r="A22" s="4" t="s">
        <v>20</v>
      </c>
      <c r="B22" s="12" t="n">
        <v>100000</v>
      </c>
      <c r="C22" s="13" t="n">
        <f aca="false">B22*(1+$B$9)</f>
        <v>125000</v>
      </c>
      <c r="D22" s="13" t="n">
        <f aca="false">B22*(1+$B$10)</f>
        <v>175000</v>
      </c>
    </row>
    <row r="24" customFormat="false" ht="15" hidden="false" customHeight="false" outlineLevel="0" collapsed="false">
      <c r="A24" s="3" t="s">
        <v>26</v>
      </c>
    </row>
    <row r="25" customFormat="false" ht="42" hidden="false" customHeight="true" outlineLevel="0" collapsed="false">
      <c r="A25" s="9" t="s">
        <v>13</v>
      </c>
      <c r="B25" s="9" t="s">
        <v>27</v>
      </c>
      <c r="C25" s="9" t="s">
        <v>28</v>
      </c>
      <c r="D25" s="9" t="s">
        <v>29</v>
      </c>
    </row>
    <row r="26" customFormat="false" ht="15" hidden="false" customHeight="false" outlineLevel="0" collapsed="false">
      <c r="A26" s="4" t="s">
        <v>17</v>
      </c>
      <c r="B26" s="13" t="n">
        <f aca="false">B20*$B$7</f>
        <v>685314</v>
      </c>
      <c r="C26" s="13" t="n">
        <f aca="false">C20*$B$7</f>
        <v>856642.5</v>
      </c>
      <c r="D26" s="13" t="n">
        <f aca="false">D20*$B$7</f>
        <v>1199299.5</v>
      </c>
    </row>
    <row r="27" customFormat="false" ht="15" hidden="false" customHeight="false" outlineLevel="0" collapsed="false">
      <c r="A27" s="4" t="s">
        <v>19</v>
      </c>
      <c r="B27" s="13" t="n">
        <f aca="false">B21*$B$7</f>
        <v>1678320</v>
      </c>
      <c r="C27" s="13" t="n">
        <f aca="false">C21*$B$7</f>
        <v>2097900</v>
      </c>
      <c r="D27" s="13" t="n">
        <f aca="false">D21*$B$7</f>
        <v>2937060</v>
      </c>
    </row>
    <row r="28" customFormat="false" ht="15" hidden="false" customHeight="false" outlineLevel="0" collapsed="false">
      <c r="A28" s="4" t="s">
        <v>20</v>
      </c>
      <c r="B28" s="13" t="n">
        <f aca="false">B22*$B$7</f>
        <v>13986000</v>
      </c>
      <c r="C28" s="13" t="n">
        <f aca="false">C22*$B$7</f>
        <v>17482500</v>
      </c>
      <c r="D28" s="13" t="n">
        <f aca="false">D22*$B$7</f>
        <v>24475500</v>
      </c>
    </row>
    <row r="30" customFormat="false" ht="15" hidden="false" customHeight="false" outlineLevel="0" collapsed="false">
      <c r="A30" s="3" t="s">
        <v>30</v>
      </c>
    </row>
    <row r="31" customFormat="false" ht="42" hidden="false" customHeight="true" outlineLevel="0" collapsed="false">
      <c r="A31" s="9" t="s">
        <v>13</v>
      </c>
      <c r="B31" s="9" t="s">
        <v>27</v>
      </c>
      <c r="C31" s="9" t="s">
        <v>28</v>
      </c>
      <c r="D31" s="9" t="s">
        <v>29</v>
      </c>
    </row>
    <row r="32" customFormat="false" ht="15" hidden="false" customHeight="false" outlineLevel="0" collapsed="false">
      <c r="A32" s="4" t="s">
        <v>17</v>
      </c>
      <c r="B32" s="14" t="n">
        <f aca="false">ROUND((B26+$C14)/$B14,0)*$B14-$C14</f>
        <v>689000</v>
      </c>
      <c r="C32" s="13" t="n">
        <f aca="false">ROUND((C26+$C14)/$B14,0)*$B14-$C14</f>
        <v>859000</v>
      </c>
      <c r="D32" s="13" t="n">
        <f aca="false">ROUND((D26+$C14)/$B14,0)*$B14-$C14</f>
        <v>1199000</v>
      </c>
    </row>
    <row r="33" customFormat="false" ht="15" hidden="false" customHeight="false" outlineLevel="0" collapsed="false">
      <c r="A33" s="4" t="s">
        <v>19</v>
      </c>
      <c r="B33" s="14" t="n">
        <f aca="false">ROUND((B27+$C15)/$B15,0)*$B15-$C15</f>
        <v>1679000</v>
      </c>
      <c r="C33" s="13" t="n">
        <f aca="false">ROUND((C27+$C15)/$B15,0)*$B15-$C15</f>
        <v>2099000</v>
      </c>
      <c r="D33" s="13" t="n">
        <f aca="false">ROUND((D27+$C15)/$B15,0)*$B15-$C15</f>
        <v>2939000</v>
      </c>
    </row>
    <row r="34" customFormat="false" ht="15" hidden="false" customHeight="false" outlineLevel="0" collapsed="false">
      <c r="A34" s="4" t="s">
        <v>20</v>
      </c>
      <c r="B34" s="14" t="n">
        <f aca="false">ROUND((B28+$C16)/$B16,0)*$B16-$C16</f>
        <v>13990000</v>
      </c>
      <c r="C34" s="13" t="n">
        <f aca="false">ROUND((C28+$C16)/$B16,0)*$B16-$C16</f>
        <v>17490000</v>
      </c>
      <c r="D34" s="13" t="n">
        <f aca="false">ROUND((D28+$C16)/$B16,0)*$B16-$C16</f>
        <v>24490000</v>
      </c>
    </row>
    <row r="36" customFormat="false" ht="15" hidden="false" customHeight="false" outlineLevel="0" collapsed="false">
      <c r="A36" s="3" t="s">
        <v>31</v>
      </c>
    </row>
    <row r="37" customFormat="false" ht="42" hidden="false" customHeight="true" outlineLevel="0" collapsed="false">
      <c r="A37" s="9" t="s">
        <v>13</v>
      </c>
      <c r="B37" s="9" t="s">
        <v>32</v>
      </c>
      <c r="C37" s="9" t="s">
        <v>33</v>
      </c>
      <c r="D37" s="9" t="s">
        <v>34</v>
      </c>
    </row>
    <row r="38" customFormat="false" ht="15" hidden="false" customHeight="false" outlineLevel="0" collapsed="false">
      <c r="A38" s="4" t="s">
        <v>17</v>
      </c>
      <c r="B38" s="15" t="n">
        <f aca="false">ROUND(B32/$B$6,0)</f>
        <v>58</v>
      </c>
      <c r="C38" s="16" t="n">
        <f aca="false">ROUND(C32/$B$6,0)</f>
        <v>73</v>
      </c>
      <c r="D38" s="16" t="n">
        <f aca="false">ROUND(D32/$B$6,0)</f>
        <v>102</v>
      </c>
    </row>
    <row r="39" customFormat="false" ht="15" hidden="false" customHeight="false" outlineLevel="0" collapsed="false">
      <c r="A39" s="4" t="s">
        <v>19</v>
      </c>
      <c r="B39" s="15" t="n">
        <f aca="false">ROUND(B33/$B$6,0)</f>
        <v>142</v>
      </c>
      <c r="C39" s="16" t="n">
        <f aca="false">ROUND(C33/$B$6,0)</f>
        <v>178</v>
      </c>
      <c r="D39" s="16" t="n">
        <f aca="false">ROUND(D33/$B$6,0)</f>
        <v>249</v>
      </c>
    </row>
    <row r="40" customFormat="false" ht="15" hidden="false" customHeight="false" outlineLevel="0" collapsed="false">
      <c r="A40" s="4" t="s">
        <v>20</v>
      </c>
      <c r="B40" s="15" t="n">
        <f aca="false">ROUND(B34/$B$6,0)</f>
        <v>1185</v>
      </c>
      <c r="C40" s="16" t="n">
        <f aca="false">ROUND(C34/$B$6,0)</f>
        <v>1481</v>
      </c>
      <c r="D40" s="16" t="n">
        <f aca="false">ROUND(D34/$B$6,0)</f>
        <v>2074</v>
      </c>
    </row>
    <row r="42" customFormat="false" ht="15" hidden="false" customHeight="false" outlineLevel="0" collapsed="false">
      <c r="A42" s="3" t="s">
        <v>35</v>
      </c>
    </row>
    <row r="43" customFormat="false" ht="42" hidden="false" customHeight="true" outlineLevel="0" collapsed="false">
      <c r="A43" s="9" t="s">
        <v>13</v>
      </c>
      <c r="B43" s="9" t="s">
        <v>32</v>
      </c>
      <c r="C43" s="9" t="s">
        <v>33</v>
      </c>
      <c r="D43" s="9" t="s">
        <v>34</v>
      </c>
      <c r="E43" s="9" t="s">
        <v>36</v>
      </c>
      <c r="F43" s="9" t="s">
        <v>37</v>
      </c>
      <c r="G43" s="9" t="s">
        <v>38</v>
      </c>
    </row>
    <row r="44" customFormat="false" ht="15" hidden="false" customHeight="false" outlineLevel="0" collapsed="false">
      <c r="A44" s="4" t="s">
        <v>17</v>
      </c>
      <c r="B44" s="17" t="n">
        <v>59</v>
      </c>
      <c r="C44" s="18" t="n">
        <v>75</v>
      </c>
      <c r="D44" s="18" t="n">
        <v>105</v>
      </c>
      <c r="E44" s="19" t="n">
        <f aca="false">C44/B44-1</f>
        <v>0.271186440677966</v>
      </c>
      <c r="F44" s="19" t="n">
        <f aca="false">D44/B44-1</f>
        <v>0.779661016949153</v>
      </c>
      <c r="G44" s="19" t="n">
        <f aca="false">B44/(B32/$B$6)-1</f>
        <v>0.011046777939042</v>
      </c>
    </row>
    <row r="45" customFormat="false" ht="15" hidden="false" customHeight="false" outlineLevel="0" collapsed="false">
      <c r="A45" s="4" t="s">
        <v>19</v>
      </c>
      <c r="B45" s="17" t="n">
        <v>139</v>
      </c>
      <c r="C45" s="18" t="n">
        <v>175</v>
      </c>
      <c r="D45" s="18" t="n">
        <v>245</v>
      </c>
      <c r="E45" s="19" t="n">
        <f aca="false">C45/B45-1</f>
        <v>0.258992805755396</v>
      </c>
      <c r="F45" s="19" t="n">
        <f aca="false">D45/B45-1</f>
        <v>0.762589928057554</v>
      </c>
      <c r="G45" s="19" t="n">
        <f aca="false">B45/(B33/$B$6)-1</f>
        <v>-0.0225319654556284</v>
      </c>
    </row>
    <row r="46" customFormat="false" ht="15" hidden="false" customHeight="false" outlineLevel="0" collapsed="false">
      <c r="A46" s="4" t="s">
        <v>20</v>
      </c>
      <c r="B46" s="17" t="n">
        <v>1190</v>
      </c>
      <c r="C46" s="18" t="n">
        <v>1490</v>
      </c>
      <c r="D46" s="18" t="n">
        <v>2090</v>
      </c>
      <c r="E46" s="19" t="n">
        <f aca="false">C46/B46-1</f>
        <v>0.252100840336134</v>
      </c>
      <c r="F46" s="19" t="n">
        <f aca="false">D46/B46-1</f>
        <v>0.756302521008403</v>
      </c>
      <c r="G46" s="19" t="n">
        <f aca="false">B46/(B34/$B$6)-1</f>
        <v>0.00430981415296627</v>
      </c>
    </row>
    <row r="47" customFormat="false" ht="15" hidden="false" customHeight="false" outlineLevel="0" collapsed="false">
      <c r="A47" s="2" t="s">
        <v>39</v>
      </c>
    </row>
    <row r="49" customFormat="false" ht="15" hidden="false" customHeight="false" outlineLevel="0" collapsed="false">
      <c r="A49" s="3" t="s">
        <v>40</v>
      </c>
    </row>
    <row r="50" customFormat="false" ht="42" hidden="false" customHeight="true" outlineLevel="0" collapsed="false">
      <c r="A50" s="9" t="s">
        <v>13</v>
      </c>
      <c r="B50" s="9" t="s">
        <v>41</v>
      </c>
      <c r="C50" s="9" t="s">
        <v>28</v>
      </c>
      <c r="D50" s="9" t="s">
        <v>29</v>
      </c>
    </row>
    <row r="51" customFormat="false" ht="15" hidden="false" customHeight="false" outlineLevel="0" collapsed="false">
      <c r="A51" s="4" t="s">
        <v>17</v>
      </c>
      <c r="B51" s="13" t="n">
        <f aca="false">B44*$B$6</f>
        <v>696611.23</v>
      </c>
      <c r="C51" s="13" t="n">
        <f aca="false">C44*$B$6</f>
        <v>885522.75</v>
      </c>
      <c r="D51" s="13" t="n">
        <f aca="false">D44*$B$6</f>
        <v>1239731.85</v>
      </c>
    </row>
    <row r="52" customFormat="false" ht="15" hidden="false" customHeight="false" outlineLevel="0" collapsed="false">
      <c r="A52" s="4" t="s">
        <v>19</v>
      </c>
      <c r="B52" s="13" t="n">
        <f aca="false">B45*$B$6</f>
        <v>1641168.83</v>
      </c>
      <c r="C52" s="13" t="n">
        <f aca="false">C45*$B$6</f>
        <v>2066219.75</v>
      </c>
      <c r="D52" s="13" t="n">
        <f aca="false">D45*$B$6</f>
        <v>2892707.65</v>
      </c>
    </row>
    <row r="53" customFormat="false" ht="15" hidden="false" customHeight="false" outlineLevel="0" collapsed="false">
      <c r="A53" s="4" t="s">
        <v>20</v>
      </c>
      <c r="B53" s="13" t="n">
        <f aca="false">B46*$B$6</f>
        <v>14050294.3</v>
      </c>
      <c r="C53" s="13" t="n">
        <f aca="false">C46*$B$6</f>
        <v>17592385.3</v>
      </c>
      <c r="D53" s="13" t="n">
        <f aca="false">D46*$B$6</f>
        <v>24676567.3</v>
      </c>
    </row>
    <row r="55" customFormat="false" ht="15" hidden="false" customHeight="false" outlineLevel="0" collapsed="false">
      <c r="A55" s="3" t="s">
        <v>42</v>
      </c>
    </row>
    <row r="56" customFormat="false" ht="15" hidden="false" customHeight="false" outlineLevel="0" collapsed="false">
      <c r="A56" s="2" t="s">
        <v>43</v>
      </c>
    </row>
    <row r="57" customFormat="false" ht="15" hidden="false" customHeight="false" outlineLevel="0" collapsed="false">
      <c r="A57" s="2" t="s">
        <v>44</v>
      </c>
    </row>
    <row r="58" customFormat="false" ht="15" hidden="false" customHeight="false" outlineLevel="0" collapsed="false">
      <c r="A58" s="2" t="s">
        <v>45</v>
      </c>
    </row>
    <row r="59" customFormat="false" ht="15" hidden="false" customHeight="false" outlineLevel="0" collapsed="false">
      <c r="A59" s="2" t="s">
        <v>46</v>
      </c>
    </row>
    <row r="60" customFormat="false" ht="15" hidden="false" customHeight="false" outlineLevel="0" collapsed="false">
      <c r="A60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6" min="5" style="0" width="18"/>
    <col collapsed="false" customWidth="true" hidden="false" outlineLevel="0" max="8" min="7" style="0" width="14"/>
    <col collapsed="false" customWidth="true" hidden="false" outlineLevel="0" max="9" min="9" style="0" width="62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3" customFormat="false" ht="15" hidden="false" customHeight="false" outlineLevel="0" collapsed="false">
      <c r="A3" s="4" t="s">
        <v>6</v>
      </c>
      <c r="B3" s="20" t="n">
        <f aca="false">'Цены тарифов'!B7</f>
        <v>139.86</v>
      </c>
      <c r="C3" s="4" t="s">
        <v>5</v>
      </c>
      <c r="D3" s="20" t="n">
        <f aca="false">'Цены тарифов'!B6</f>
        <v>11806.97</v>
      </c>
    </row>
    <row r="4" customFormat="false" ht="42" hidden="false" customHeight="true" outlineLevel="0" collapsed="false">
      <c r="A4" s="9" t="s">
        <v>50</v>
      </c>
      <c r="B4" s="9" t="s">
        <v>51</v>
      </c>
      <c r="C4" s="9" t="s">
        <v>52</v>
      </c>
      <c r="D4" s="9" t="s">
        <v>53</v>
      </c>
      <c r="E4" s="9" t="s">
        <v>54</v>
      </c>
      <c r="F4" s="9" t="s">
        <v>55</v>
      </c>
      <c r="G4" s="9" t="s">
        <v>56</v>
      </c>
      <c r="H4" s="9" t="s">
        <v>57</v>
      </c>
      <c r="I4" s="9" t="s">
        <v>58</v>
      </c>
    </row>
    <row r="5" customFormat="false" ht="15" hidden="false" customHeight="false" outlineLevel="0" collapsed="false">
      <c r="A5" s="4" t="s">
        <v>59</v>
      </c>
      <c r="B5" s="4" t="s">
        <v>60</v>
      </c>
      <c r="C5" s="10" t="n">
        <v>5000</v>
      </c>
      <c r="D5" s="10" t="n">
        <v>50000</v>
      </c>
      <c r="E5" s="13" t="n">
        <f aca="false">IF(C5="","",C5*$B$3)</f>
        <v>699300</v>
      </c>
      <c r="F5" s="13" t="n">
        <f aca="false">IF(D5="","",D5*$B$3)</f>
        <v>6993000</v>
      </c>
      <c r="G5" s="16" t="n">
        <f aca="false">IF(E5="","",E5/$D$3)</f>
        <v>59.2277273508784</v>
      </c>
      <c r="H5" s="16" t="n">
        <f aca="false">IF(F5="","",F5/$D$3)</f>
        <v>592.277273508784</v>
      </c>
      <c r="I5" s="2" t="s">
        <v>61</v>
      </c>
    </row>
    <row r="6" customFormat="false" ht="15" hidden="false" customHeight="false" outlineLevel="0" collapsed="false">
      <c r="A6" s="4" t="s">
        <v>62</v>
      </c>
      <c r="B6" s="4" t="s">
        <v>60</v>
      </c>
      <c r="C6" s="10" t="n">
        <v>10000</v>
      </c>
      <c r="D6" s="10" t="n">
        <v>70000</v>
      </c>
      <c r="E6" s="13" t="n">
        <f aca="false">IF(C6="","",C6*$B$3)</f>
        <v>1398600</v>
      </c>
      <c r="F6" s="13" t="n">
        <f aca="false">IF(D6="","",D6*$B$3)</f>
        <v>9790200</v>
      </c>
      <c r="G6" s="16" t="n">
        <f aca="false">IF(E6="","",E6/$D$3)</f>
        <v>118.455454701757</v>
      </c>
      <c r="H6" s="16" t="n">
        <f aca="false">IF(F6="","",F6/$D$3)</f>
        <v>829.188182912297</v>
      </c>
      <c r="I6" s="2" t="s">
        <v>63</v>
      </c>
    </row>
    <row r="7" customFormat="false" ht="15" hidden="false" customHeight="false" outlineLevel="0" collapsed="false">
      <c r="A7" s="4" t="s">
        <v>64</v>
      </c>
      <c r="B7" s="4" t="s">
        <v>65</v>
      </c>
      <c r="C7" s="10" t="n">
        <v>500</v>
      </c>
      <c r="D7" s="10" t="n">
        <v>5000</v>
      </c>
      <c r="E7" s="13" t="n">
        <f aca="false">IF(C7="","",C7*$B$3)</f>
        <v>69930</v>
      </c>
      <c r="F7" s="13" t="n">
        <f aca="false">IF(D7="","",D7*$B$3)</f>
        <v>699300</v>
      </c>
      <c r="G7" s="16" t="n">
        <f aca="false">IF(E7="","",E7/$D$3)</f>
        <v>5.92277273508783</v>
      </c>
      <c r="H7" s="16" t="n">
        <f aca="false">IF(F7="","",F7/$D$3)</f>
        <v>59.2277273508784</v>
      </c>
      <c r="I7" s="2" t="s">
        <v>66</v>
      </c>
    </row>
    <row r="8" customFormat="false" ht="15" hidden="false" customHeight="false" outlineLevel="0" collapsed="false">
      <c r="A8" s="4" t="s">
        <v>67</v>
      </c>
      <c r="B8" s="4" t="s">
        <v>68</v>
      </c>
      <c r="C8" s="10" t="n">
        <v>5000</v>
      </c>
      <c r="D8" s="10" t="n">
        <v>20000</v>
      </c>
      <c r="E8" s="13" t="n">
        <f aca="false">IF(C8="","",C8*$B$3)</f>
        <v>699300</v>
      </c>
      <c r="F8" s="13" t="n">
        <f aca="false">IF(D8="","",D8*$B$3)</f>
        <v>2797200</v>
      </c>
      <c r="G8" s="16" t="n">
        <f aca="false">IF(E8="","",E8/$D$3)</f>
        <v>59.2277273508784</v>
      </c>
      <c r="H8" s="16" t="n">
        <f aca="false">IF(F8="","",F8/$D$3)</f>
        <v>236.910909403513</v>
      </c>
      <c r="I8" s="2" t="s">
        <v>69</v>
      </c>
    </row>
    <row r="9" customFormat="false" ht="15" hidden="false" customHeight="false" outlineLevel="0" collapsed="false">
      <c r="A9" s="4" t="s">
        <v>70</v>
      </c>
      <c r="B9" s="4" t="s">
        <v>71</v>
      </c>
      <c r="C9" s="10" t="n">
        <v>20000</v>
      </c>
      <c r="D9" s="10" t="n">
        <v>50000</v>
      </c>
      <c r="E9" s="13" t="n">
        <f aca="false">IF(C9="","",C9*$B$3)</f>
        <v>2797200</v>
      </c>
      <c r="F9" s="13" t="n">
        <f aca="false">IF(D9="","",D9*$B$3)</f>
        <v>6993000</v>
      </c>
      <c r="G9" s="16" t="n">
        <f aca="false">IF(E9="","",E9/$D$3)</f>
        <v>236.910909403513</v>
      </c>
      <c r="H9" s="16" t="n">
        <f aca="false">IF(F9="","",F9/$D$3)</f>
        <v>592.277273508784</v>
      </c>
      <c r="I9" s="2" t="s">
        <v>72</v>
      </c>
    </row>
    <row r="10" customFormat="false" ht="15" hidden="false" customHeight="false" outlineLevel="0" collapsed="false">
      <c r="A10" s="4" t="s">
        <v>73</v>
      </c>
      <c r="B10" s="4" t="s">
        <v>71</v>
      </c>
      <c r="C10" s="10" t="n">
        <v>10000</v>
      </c>
      <c r="D10" s="10" t="n">
        <v>40000</v>
      </c>
      <c r="E10" s="13" t="n">
        <f aca="false">IF(C10="","",C10*$B$3)</f>
        <v>1398600</v>
      </c>
      <c r="F10" s="13" t="n">
        <f aca="false">IF(D10="","",D10*$B$3)</f>
        <v>5594400</v>
      </c>
      <c r="G10" s="16" t="n">
        <f aca="false">IF(E10="","",E10/$D$3)</f>
        <v>118.455454701757</v>
      </c>
      <c r="H10" s="16" t="n">
        <f aca="false">IF(F10="","",F10/$D$3)</f>
        <v>473.821818807027</v>
      </c>
      <c r="I10" s="2" t="s">
        <v>74</v>
      </c>
    </row>
    <row r="11" customFormat="false" ht="15" hidden="false" customHeight="false" outlineLevel="0" collapsed="false">
      <c r="A11" s="4" t="s">
        <v>75</v>
      </c>
      <c r="B11" s="4" t="s">
        <v>76</v>
      </c>
      <c r="C11" s="10" t="n">
        <v>300</v>
      </c>
      <c r="D11" s="10"/>
      <c r="E11" s="13" t="n">
        <f aca="false">IF(C11="","",C11*$B$3)</f>
        <v>41958</v>
      </c>
      <c r="F11" s="13" t="str">
        <f aca="false">IF(D11="","",D11*$B$3)</f>
        <v/>
      </c>
      <c r="G11" s="16" t="n">
        <f aca="false">IF(E11="","",E11/$D$3)</f>
        <v>3.5536636410527</v>
      </c>
      <c r="H11" s="16" t="str">
        <f aca="false">IF(F11="","",F11/$D$3)</f>
        <v/>
      </c>
      <c r="I11" s="2" t="s">
        <v>77</v>
      </c>
    </row>
    <row r="13" customFormat="false" ht="15" hidden="false" customHeight="false" outlineLevel="0" collapsed="false">
      <c r="A13" s="3" t="s">
        <v>78</v>
      </c>
    </row>
    <row r="14" customFormat="false" ht="15" hidden="false" customHeight="false" outlineLevel="0" collapsed="false">
      <c r="A14" s="4" t="s">
        <v>79</v>
      </c>
      <c r="C14" s="21" t="n">
        <f aca="false">'Цены тарифов'!B20</f>
        <v>4900</v>
      </c>
      <c r="D14" s="21" t="n">
        <f aca="false">'Цены тарифов'!B21</f>
        <v>12000</v>
      </c>
      <c r="E14" s="21" t="n">
        <f aca="false">'Цены тарифов'!B22</f>
        <v>100000</v>
      </c>
    </row>
    <row r="15" customFormat="false" ht="15" hidden="false" customHeight="false" outlineLevel="0" collapsed="false">
      <c r="A15" s="22" t="s">
        <v>80</v>
      </c>
    </row>
    <row r="16" customFormat="false" ht="42" hidden="false" customHeight="true" outlineLevel="0" collapsed="false">
      <c r="A16" s="9" t="s">
        <v>50</v>
      </c>
      <c r="B16" s="9" t="s">
        <v>81</v>
      </c>
      <c r="C16" s="9" t="s">
        <v>82</v>
      </c>
      <c r="D16" s="9" t="s">
        <v>83</v>
      </c>
      <c r="E16" s="9" t="s">
        <v>84</v>
      </c>
    </row>
    <row r="17" customFormat="false" ht="15" hidden="false" customHeight="false" outlineLevel="0" collapsed="false">
      <c r="A17" s="4" t="str">
        <f aca="false">A5&amp;" ("&amp;B5&amp;")"</f>
        <v>Чат-бот для бизнеса (за проект)</v>
      </c>
      <c r="B17" s="13" t="n">
        <f aca="false">C5</f>
        <v>5000</v>
      </c>
      <c r="C17" s="13" t="n">
        <f aca="false">ROUNDUP(C$14/$B17,0)</f>
        <v>1</v>
      </c>
      <c r="D17" s="13" t="n">
        <f aca="false">ROUNDUP(D$14/$B17,0)</f>
        <v>3</v>
      </c>
      <c r="E17" s="13" t="n">
        <f aca="false">ROUNDUP(E$14/$B17,0)</f>
        <v>20</v>
      </c>
    </row>
    <row r="18" customFormat="false" ht="15" hidden="false" customHeight="false" outlineLevel="0" collapsed="false">
      <c r="A18" s="4" t="str">
        <f aca="false">A6&amp;" ("&amp;B6&amp;")"</f>
        <v>Сайт (за проект)</v>
      </c>
      <c r="B18" s="13" t="n">
        <f aca="false">C6</f>
        <v>10000</v>
      </c>
      <c r="C18" s="13" t="n">
        <f aca="false">ROUNDUP(C$14/$B18,0)</f>
        <v>1</v>
      </c>
      <c r="D18" s="13" t="n">
        <f aca="false">ROUNDUP(D$14/$B18,0)</f>
        <v>2</v>
      </c>
      <c r="E18" s="13" t="n">
        <f aca="false">ROUNDUP(E$14/$B18,0)</f>
        <v>10</v>
      </c>
    </row>
    <row r="19" customFormat="false" ht="15" hidden="false" customHeight="false" outlineLevel="0" collapsed="false">
      <c r="A19" s="4" t="str">
        <f aca="false">A7&amp;" ("&amp;B7&amp;")"</f>
        <v>AI-рилс (за ролик)</v>
      </c>
      <c r="B19" s="13" t="n">
        <f aca="false">C7</f>
        <v>500</v>
      </c>
      <c r="C19" s="13" t="n">
        <f aca="false">ROUNDUP(C$14/$B19,0)</f>
        <v>10</v>
      </c>
      <c r="D19" s="13" t="n">
        <f aca="false">ROUNDUP(D$14/$B19,0)</f>
        <v>24</v>
      </c>
      <c r="E19" s="13" t="n">
        <f aca="false">ROUNDUP(E$14/$B19,0)</f>
        <v>200</v>
      </c>
    </row>
    <row r="20" customFormat="false" ht="15" hidden="false" customHeight="false" outlineLevel="0" collapsed="false">
      <c r="A20" s="4" t="str">
        <f aca="false">A8&amp;" ("&amp;B8&amp;")"</f>
        <v>Контент-план (за план)</v>
      </c>
      <c r="B20" s="13" t="n">
        <f aca="false">C8</f>
        <v>5000</v>
      </c>
      <c r="C20" s="13" t="n">
        <f aca="false">ROUNDUP(C$14/$B20,0)</f>
        <v>1</v>
      </c>
      <c r="D20" s="13" t="n">
        <f aca="false">ROUNDUP(D$14/$B20,0)</f>
        <v>3</v>
      </c>
      <c r="E20" s="13" t="n">
        <f aca="false">ROUNDUP(E$14/$B20,0)</f>
        <v>20</v>
      </c>
    </row>
    <row r="21" customFormat="false" ht="15" hidden="false" customHeight="false" outlineLevel="0" collapsed="false">
      <c r="A21" s="4" t="str">
        <f aca="false">A9&amp;" ("&amp;B9&amp;")"</f>
        <v>Ведение соцсетей (в месяц)</v>
      </c>
      <c r="B21" s="13" t="n">
        <f aca="false">C9</f>
        <v>20000</v>
      </c>
      <c r="C21" s="13" t="n">
        <f aca="false">ROUNDUP(C$14/$B21,0)</f>
        <v>1</v>
      </c>
      <c r="D21" s="13" t="n">
        <f aca="false">ROUNDUP(D$14/$B21,0)</f>
        <v>1</v>
      </c>
      <c r="E21" s="13" t="n">
        <f aca="false">ROUNDUP(E$14/$B21,0)</f>
        <v>5</v>
      </c>
    </row>
    <row r="22" customFormat="false" ht="15" hidden="false" customHeight="false" outlineLevel="0" collapsed="false">
      <c r="A22" s="4" t="str">
        <f aca="false">A10&amp;" ("&amp;B10&amp;")"</f>
        <v>Дизайн (в месяц)</v>
      </c>
      <c r="B22" s="13" t="n">
        <f aca="false">C10</f>
        <v>10000</v>
      </c>
      <c r="C22" s="13" t="n">
        <f aca="false">ROUNDUP(C$14/$B22,0)</f>
        <v>1</v>
      </c>
      <c r="D22" s="13" t="n">
        <f aca="false">ROUNDUP(D$14/$B22,0)</f>
        <v>2</v>
      </c>
      <c r="E22" s="13" t="n">
        <f aca="false">ROUNDUP(E$14/$B22,0)</f>
        <v>10</v>
      </c>
    </row>
    <row r="24" customFormat="false" ht="15" hidden="false" customHeight="false" outlineLevel="0" collapsed="false">
      <c r="A24" s="22" t="s">
        <v>85</v>
      </c>
    </row>
    <row r="25" customFormat="false" ht="42" hidden="false" customHeight="true" outlineLevel="0" collapsed="false">
      <c r="A25" s="9" t="s">
        <v>50</v>
      </c>
      <c r="B25" s="9" t="s">
        <v>81</v>
      </c>
      <c r="C25" s="9" t="s">
        <v>82</v>
      </c>
      <c r="D25" s="9" t="s">
        <v>83</v>
      </c>
      <c r="E25" s="9" t="s">
        <v>84</v>
      </c>
    </row>
    <row r="26" customFormat="false" ht="15" hidden="false" customHeight="false" outlineLevel="0" collapsed="false">
      <c r="A26" s="4" t="str">
        <f aca="false">A5&amp;" ("&amp;B5&amp;")"</f>
        <v>Чат-бот для бизнеса (за проект)</v>
      </c>
      <c r="B26" s="13" t="n">
        <f aca="false">D5</f>
        <v>50000</v>
      </c>
      <c r="C26" s="13" t="n">
        <f aca="false">ROUNDUP(C$14/$B26,0)</f>
        <v>1</v>
      </c>
      <c r="D26" s="13" t="n">
        <f aca="false">ROUNDUP(D$14/$B26,0)</f>
        <v>1</v>
      </c>
      <c r="E26" s="13" t="n">
        <f aca="false">ROUNDUP(E$14/$B26,0)</f>
        <v>2</v>
      </c>
    </row>
    <row r="27" customFormat="false" ht="15" hidden="false" customHeight="false" outlineLevel="0" collapsed="false">
      <c r="A27" s="4" t="str">
        <f aca="false">A6&amp;" ("&amp;B6&amp;")"</f>
        <v>Сайт (за проект)</v>
      </c>
      <c r="B27" s="13" t="n">
        <f aca="false">D6</f>
        <v>70000</v>
      </c>
      <c r="C27" s="13" t="n">
        <f aca="false">ROUNDUP(C$14/$B27,0)</f>
        <v>1</v>
      </c>
      <c r="D27" s="13" t="n">
        <f aca="false">ROUNDUP(D$14/$B27,0)</f>
        <v>1</v>
      </c>
      <c r="E27" s="13" t="n">
        <f aca="false">ROUNDUP(E$14/$B27,0)</f>
        <v>2</v>
      </c>
    </row>
    <row r="28" customFormat="false" ht="15" hidden="false" customHeight="false" outlineLevel="0" collapsed="false">
      <c r="A28" s="4" t="str">
        <f aca="false">A7&amp;" ("&amp;B7&amp;")"</f>
        <v>AI-рилс (за ролик)</v>
      </c>
      <c r="B28" s="13" t="n">
        <f aca="false">D7</f>
        <v>5000</v>
      </c>
      <c r="C28" s="13" t="n">
        <f aca="false">ROUNDUP(C$14/$B28,0)</f>
        <v>1</v>
      </c>
      <c r="D28" s="13" t="n">
        <f aca="false">ROUNDUP(D$14/$B28,0)</f>
        <v>3</v>
      </c>
      <c r="E28" s="13" t="n">
        <f aca="false">ROUNDUP(E$14/$B28,0)</f>
        <v>20</v>
      </c>
    </row>
    <row r="29" customFormat="false" ht="15" hidden="false" customHeight="false" outlineLevel="0" collapsed="false">
      <c r="A29" s="4" t="str">
        <f aca="false">A8&amp;" ("&amp;B8&amp;")"</f>
        <v>Контент-план (за план)</v>
      </c>
      <c r="B29" s="13" t="n">
        <f aca="false">D8</f>
        <v>20000</v>
      </c>
      <c r="C29" s="13" t="n">
        <f aca="false">ROUNDUP(C$14/$B29,0)</f>
        <v>1</v>
      </c>
      <c r="D29" s="13" t="n">
        <f aca="false">ROUNDUP(D$14/$B29,0)</f>
        <v>1</v>
      </c>
      <c r="E29" s="13" t="n">
        <f aca="false">ROUNDUP(E$14/$B29,0)</f>
        <v>5</v>
      </c>
    </row>
    <row r="30" customFormat="false" ht="15" hidden="false" customHeight="false" outlineLevel="0" collapsed="false">
      <c r="A30" s="4" t="str">
        <f aca="false">A9&amp;" ("&amp;B9&amp;")"</f>
        <v>Ведение соцсетей (в месяц)</v>
      </c>
      <c r="B30" s="13" t="n">
        <f aca="false">D9</f>
        <v>50000</v>
      </c>
      <c r="C30" s="13" t="n">
        <f aca="false">ROUNDUP(C$14/$B30,0)</f>
        <v>1</v>
      </c>
      <c r="D30" s="13" t="n">
        <f aca="false">ROUNDUP(D$14/$B30,0)</f>
        <v>1</v>
      </c>
      <c r="E30" s="13" t="n">
        <f aca="false">ROUNDUP(E$14/$B30,0)</f>
        <v>2</v>
      </c>
    </row>
    <row r="31" customFormat="false" ht="15" hidden="false" customHeight="false" outlineLevel="0" collapsed="false">
      <c r="A31" s="4" t="str">
        <f aca="false">A10&amp;" ("&amp;B10&amp;")"</f>
        <v>Дизайн (в месяц)</v>
      </c>
      <c r="B31" s="13" t="n">
        <f aca="false">D10</f>
        <v>40000</v>
      </c>
      <c r="C31" s="13" t="n">
        <f aca="false">ROUNDUP(C$14/$B31,0)</f>
        <v>1</v>
      </c>
      <c r="D31" s="13" t="n">
        <f aca="false">ROUNDUP(D$14/$B31,0)</f>
        <v>1</v>
      </c>
      <c r="E31" s="13" t="n">
        <f aca="false">ROUNDUP(E$14/$B31,0)</f>
        <v>3</v>
      </c>
    </row>
    <row r="35" customFormat="false" ht="15" hidden="false" customHeight="false" outlineLevel="0" collapsed="false">
      <c r="A35" s="3" t="s">
        <v>42</v>
      </c>
    </row>
    <row r="36" customFormat="false" ht="15" hidden="false" customHeight="false" outlineLevel="0" collapsed="false">
      <c r="A36" s="2" t="s">
        <v>86</v>
      </c>
    </row>
    <row r="37" customFormat="false" ht="15" hidden="false" customHeight="false" outlineLevel="0" collapsed="false">
      <c r="A37" s="2" t="s">
        <v>87</v>
      </c>
    </row>
    <row r="38" customFormat="false" ht="15" hidden="false" customHeight="false" outlineLevel="0" collapsed="false">
      <c r="A38" s="2" t="s">
        <v>88</v>
      </c>
    </row>
    <row r="39" customFormat="false" ht="15" hidden="false" customHeight="false" outlineLevel="0" collapsed="false">
      <c r="A39" s="2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4" t="s">
        <v>6</v>
      </c>
      <c r="B4" s="20" t="n">
        <f aca="false">'Цены тарифов'!B7</f>
        <v>139.86</v>
      </c>
      <c r="C4" s="4" t="s">
        <v>5</v>
      </c>
      <c r="D4" s="20" t="n">
        <f aca="false">'Цены тарифов'!B6</f>
        <v>11806.97</v>
      </c>
    </row>
    <row r="6" customFormat="false" ht="15" hidden="false" customHeight="false" outlineLevel="0" collapsed="false">
      <c r="A6" s="3" t="s">
        <v>92</v>
      </c>
    </row>
    <row r="7" customFormat="false" ht="42" hidden="false" customHeight="true" outlineLevel="0" collapsed="false">
      <c r="A7" s="9" t="s">
        <v>93</v>
      </c>
      <c r="B7" s="9" t="s">
        <v>94</v>
      </c>
      <c r="C7" s="9" t="s">
        <v>37</v>
      </c>
      <c r="D7" s="9" t="s">
        <v>95</v>
      </c>
    </row>
    <row r="8" customFormat="false" ht="15" hidden="false" customHeight="false" outlineLevel="0" collapsed="false">
      <c r="A8" s="4" t="s">
        <v>96</v>
      </c>
      <c r="B8" s="23" t="n">
        <f aca="false">'Цены тарифов'!B9</f>
        <v>0.25</v>
      </c>
      <c r="C8" s="23" t="n">
        <f aca="false">'Цены тарифов'!B10</f>
        <v>0.75</v>
      </c>
      <c r="D8" s="2" t="s">
        <v>97</v>
      </c>
    </row>
    <row r="9" customFormat="false" ht="15" hidden="false" customHeight="false" outlineLevel="0" collapsed="false">
      <c r="A9" s="4" t="s">
        <v>98</v>
      </c>
      <c r="B9" s="8" t="n">
        <v>0.15</v>
      </c>
      <c r="C9" s="8" t="n">
        <v>0.3</v>
      </c>
      <c r="D9" s="2" t="s">
        <v>99</v>
      </c>
    </row>
    <row r="10" customFormat="false" ht="15" hidden="false" customHeight="false" outlineLevel="0" collapsed="false">
      <c r="A10" s="4" t="s">
        <v>100</v>
      </c>
      <c r="B10" s="8" t="n">
        <v>0.5</v>
      </c>
      <c r="C10" s="8" t="n">
        <v>1</v>
      </c>
      <c r="D10" s="2" t="s">
        <v>101</v>
      </c>
    </row>
    <row r="12" customFormat="false" ht="15" hidden="false" customHeight="false" outlineLevel="0" collapsed="false">
      <c r="A12" s="3" t="s">
        <v>102</v>
      </c>
    </row>
    <row r="13" customFormat="false" ht="42" hidden="false" customHeight="true" outlineLevel="0" collapsed="false">
      <c r="A13" s="9" t="s">
        <v>13</v>
      </c>
      <c r="B13" s="9" t="s">
        <v>103</v>
      </c>
      <c r="C13" s="9" t="s">
        <v>14</v>
      </c>
      <c r="D13" s="9" t="s">
        <v>15</v>
      </c>
    </row>
    <row r="14" customFormat="false" ht="15" hidden="false" customHeight="false" outlineLevel="0" collapsed="false">
      <c r="A14" s="4" t="s">
        <v>17</v>
      </c>
      <c r="B14" s="21" t="n">
        <f aca="false">'Цены тарифов'!B20</f>
        <v>4900</v>
      </c>
      <c r="C14" s="21" t="n">
        <f aca="false">'Цены тарифов'!B14</f>
        <v>10000</v>
      </c>
      <c r="D14" s="21" t="n">
        <f aca="false">'Цены тарифов'!C14</f>
        <v>1000</v>
      </c>
    </row>
    <row r="15" customFormat="false" ht="15" hidden="false" customHeight="false" outlineLevel="0" collapsed="false">
      <c r="A15" s="4" t="s">
        <v>19</v>
      </c>
      <c r="B15" s="21" t="n">
        <f aca="false">'Цены тарифов'!B21</f>
        <v>12000</v>
      </c>
      <c r="C15" s="21" t="n">
        <f aca="false">'Цены тарифов'!B15</f>
        <v>10000</v>
      </c>
      <c r="D15" s="21" t="n">
        <f aca="false">'Цены тарифов'!C15</f>
        <v>1000</v>
      </c>
    </row>
    <row r="16" customFormat="false" ht="15" hidden="false" customHeight="false" outlineLevel="0" collapsed="false">
      <c r="A16" s="4" t="s">
        <v>20</v>
      </c>
      <c r="B16" s="21" t="n">
        <f aca="false">'Цены тарифов'!B22</f>
        <v>100000</v>
      </c>
      <c r="C16" s="21" t="n">
        <f aca="false">'Цены тарифов'!B16</f>
        <v>100000</v>
      </c>
      <c r="D16" s="21" t="n">
        <f aca="false">'Цены тарифов'!C16</f>
        <v>10000</v>
      </c>
    </row>
    <row r="18" customFormat="false" ht="15" hidden="false" customHeight="false" outlineLevel="0" collapsed="false">
      <c r="A18" s="3" t="s">
        <v>104</v>
      </c>
    </row>
    <row r="19" customFormat="false" ht="42" hidden="false" customHeight="true" outlineLevel="0" collapsed="false">
      <c r="A19" s="9" t="s">
        <v>13</v>
      </c>
      <c r="B19" s="9" t="s">
        <v>41</v>
      </c>
      <c r="C19" s="9" t="s">
        <v>28</v>
      </c>
      <c r="D19" s="9" t="s">
        <v>29</v>
      </c>
      <c r="E19" s="9" t="s">
        <v>105</v>
      </c>
      <c r="F19" s="9" t="s">
        <v>33</v>
      </c>
      <c r="G19" s="9" t="s">
        <v>34</v>
      </c>
    </row>
    <row r="20" customFormat="false" ht="15" hidden="false" customHeight="false" outlineLevel="0" collapsed="false">
      <c r="A20" s="4" t="s">
        <v>17</v>
      </c>
      <c r="B20" s="13" t="n">
        <f aca="false">ROUND(($B14*$B$4+$D14)/$C14,0)*$C14-$D14</f>
        <v>689000</v>
      </c>
      <c r="C20" s="13" t="n">
        <f aca="false">ROUND(($B14*(1+$B$8)*$B$4+$D14)/$C14,0)*$C14-$D14</f>
        <v>859000</v>
      </c>
      <c r="D20" s="13" t="n">
        <f aca="false">ROUND(($B14*(1+$C$8)*$B$4+$D14)/$C14,0)*$C14-$D14</f>
        <v>1199000</v>
      </c>
      <c r="E20" s="15" t="n">
        <f aca="false">ROUND(B20/$D$4,0)</f>
        <v>58</v>
      </c>
      <c r="F20" s="16" t="n">
        <f aca="false">ROUND(C20/$D$4,0)</f>
        <v>73</v>
      </c>
      <c r="G20" s="16" t="n">
        <f aca="false">ROUND(D20/$D$4,0)</f>
        <v>102</v>
      </c>
    </row>
    <row r="21" customFormat="false" ht="15" hidden="false" customHeight="false" outlineLevel="0" collapsed="false">
      <c r="A21" s="4" t="s">
        <v>19</v>
      </c>
      <c r="B21" s="13" t="n">
        <f aca="false">ROUND(($B15*$B$4+$D15)/$C15,0)*$C15-$D15</f>
        <v>1679000</v>
      </c>
      <c r="C21" s="13" t="n">
        <f aca="false">ROUND(($B15*(1+$B$8)*$B$4+$D15)/$C15,0)*$C15-$D15</f>
        <v>2099000</v>
      </c>
      <c r="D21" s="13" t="n">
        <f aca="false">ROUND(($B15*(1+$C$8)*$B$4+$D15)/$C15,0)*$C15-$D15</f>
        <v>2939000</v>
      </c>
      <c r="E21" s="15" t="n">
        <f aca="false">ROUND(B21/$D$4,0)</f>
        <v>142</v>
      </c>
      <c r="F21" s="16" t="n">
        <f aca="false">ROUND(C21/$D$4,0)</f>
        <v>178</v>
      </c>
      <c r="G21" s="16" t="n">
        <f aca="false">ROUND(D21/$D$4,0)</f>
        <v>249</v>
      </c>
    </row>
    <row r="22" customFormat="false" ht="15" hidden="false" customHeight="false" outlineLevel="0" collapsed="false">
      <c r="A22" s="4" t="s">
        <v>20</v>
      </c>
      <c r="B22" s="13" t="n">
        <f aca="false">ROUND(($B16*$B$4+$D16)/$C16,0)*$C16-$D16</f>
        <v>13990000</v>
      </c>
      <c r="C22" s="13" t="n">
        <f aca="false">ROUND(($B16*(1+$B$8)*$B$4+$D16)/$C16,0)*$C16-$D16</f>
        <v>17490000</v>
      </c>
      <c r="D22" s="13" t="n">
        <f aca="false">ROUND(($B16*(1+$C$8)*$B$4+$D16)/$C16,0)*$C16-$D16</f>
        <v>24490000</v>
      </c>
      <c r="E22" s="15" t="n">
        <f aca="false">ROUND(B22/$D$4,0)</f>
        <v>1185</v>
      </c>
      <c r="F22" s="16" t="n">
        <f aca="false">ROUND(C22/$D$4,0)</f>
        <v>1481</v>
      </c>
      <c r="G22" s="16" t="n">
        <f aca="false">ROUND(D22/$D$4,0)</f>
        <v>2074</v>
      </c>
    </row>
    <row r="24" customFormat="false" ht="15" hidden="false" customHeight="false" outlineLevel="0" collapsed="false">
      <c r="A24" s="3" t="s">
        <v>106</v>
      </c>
    </row>
    <row r="25" customFormat="false" ht="42" hidden="false" customHeight="true" outlineLevel="0" collapsed="false">
      <c r="A25" s="9" t="s">
        <v>13</v>
      </c>
      <c r="B25" s="9" t="s">
        <v>41</v>
      </c>
      <c r="C25" s="9" t="s">
        <v>28</v>
      </c>
      <c r="D25" s="9" t="s">
        <v>29</v>
      </c>
      <c r="E25" s="9" t="s">
        <v>105</v>
      </c>
      <c r="F25" s="9" t="s">
        <v>33</v>
      </c>
      <c r="G25" s="9" t="s">
        <v>34</v>
      </c>
    </row>
    <row r="26" customFormat="false" ht="15" hidden="false" customHeight="false" outlineLevel="0" collapsed="false">
      <c r="A26" s="4" t="s">
        <v>17</v>
      </c>
      <c r="B26" s="13" t="n">
        <f aca="false">ROUND(($B14*$B$4+$D14)/$C14,0)*$C14-$D14</f>
        <v>689000</v>
      </c>
      <c r="C26" s="13" t="n">
        <f aca="false">ROUND(($B14*(1+$B$9)*$B$4+$D14)/$C14,0)*$C14-$D14</f>
        <v>789000</v>
      </c>
      <c r="D26" s="13" t="n">
        <f aca="false">ROUND(($B14*(1+$C$9)*$B$4+$D14)/$C14,0)*$C14-$D14</f>
        <v>889000</v>
      </c>
      <c r="E26" s="15" t="n">
        <f aca="false">ROUND(B26/$D$4,0)</f>
        <v>58</v>
      </c>
      <c r="F26" s="16" t="n">
        <f aca="false">ROUND(C26/$D$4,0)</f>
        <v>67</v>
      </c>
      <c r="G26" s="16" t="n">
        <f aca="false">ROUND(D26/$D$4,0)</f>
        <v>75</v>
      </c>
    </row>
    <row r="27" customFormat="false" ht="15" hidden="false" customHeight="false" outlineLevel="0" collapsed="false">
      <c r="A27" s="4" t="s">
        <v>19</v>
      </c>
      <c r="B27" s="13" t="n">
        <f aca="false">ROUND(($B15*$B$4+$D15)/$C15,0)*$C15-$D15</f>
        <v>1679000</v>
      </c>
      <c r="C27" s="13" t="n">
        <f aca="false">ROUND(($B15*(1+$B$9)*$B$4+$D15)/$C15,0)*$C15-$D15</f>
        <v>1929000</v>
      </c>
      <c r="D27" s="13" t="n">
        <f aca="false">ROUND(($B15*(1+$C$9)*$B$4+$D15)/$C15,0)*$C15-$D15</f>
        <v>2179000</v>
      </c>
      <c r="E27" s="15" t="n">
        <f aca="false">ROUND(B27/$D$4,0)</f>
        <v>142</v>
      </c>
      <c r="F27" s="16" t="n">
        <f aca="false">ROUND(C27/$D$4,0)</f>
        <v>163</v>
      </c>
      <c r="G27" s="16" t="n">
        <f aca="false">ROUND(D27/$D$4,0)</f>
        <v>185</v>
      </c>
    </row>
    <row r="28" customFormat="false" ht="15" hidden="false" customHeight="false" outlineLevel="0" collapsed="false">
      <c r="A28" s="4" t="s">
        <v>20</v>
      </c>
      <c r="B28" s="13" t="n">
        <f aca="false">ROUND(($B16*$B$4+$D16)/$C16,0)*$C16-$D16</f>
        <v>13990000</v>
      </c>
      <c r="C28" s="13" t="n">
        <f aca="false">ROUND(($B16*(1+$B$9)*$B$4+$D16)/$C16,0)*$C16-$D16</f>
        <v>16090000</v>
      </c>
      <c r="D28" s="13" t="n">
        <f aca="false">ROUND(($B16*(1+$C$9)*$B$4+$D16)/$C16,0)*$C16-$D16</f>
        <v>18190000</v>
      </c>
      <c r="E28" s="15" t="n">
        <f aca="false">ROUND(B28/$D$4,0)</f>
        <v>1185</v>
      </c>
      <c r="F28" s="16" t="n">
        <f aca="false">ROUND(C28/$D$4,0)</f>
        <v>1363</v>
      </c>
      <c r="G28" s="16" t="n">
        <f aca="false">ROUND(D28/$D$4,0)</f>
        <v>1541</v>
      </c>
    </row>
    <row r="30" customFormat="false" ht="15" hidden="false" customHeight="false" outlineLevel="0" collapsed="false">
      <c r="A30" s="3" t="s">
        <v>107</v>
      </c>
    </row>
    <row r="31" customFormat="false" ht="42" hidden="false" customHeight="true" outlineLevel="0" collapsed="false">
      <c r="A31" s="9" t="s">
        <v>13</v>
      </c>
      <c r="B31" s="9" t="s">
        <v>41</v>
      </c>
      <c r="C31" s="9" t="s">
        <v>28</v>
      </c>
      <c r="D31" s="9" t="s">
        <v>29</v>
      </c>
      <c r="E31" s="9" t="s">
        <v>105</v>
      </c>
      <c r="F31" s="9" t="s">
        <v>33</v>
      </c>
      <c r="G31" s="9" t="s">
        <v>34</v>
      </c>
    </row>
    <row r="32" customFormat="false" ht="15" hidden="false" customHeight="false" outlineLevel="0" collapsed="false">
      <c r="A32" s="4" t="s">
        <v>17</v>
      </c>
      <c r="B32" s="13" t="n">
        <f aca="false">ROUND(($B14*$B$4+$D14)/$C14,0)*$C14-$D14</f>
        <v>689000</v>
      </c>
      <c r="C32" s="13" t="n">
        <f aca="false">ROUND(($B14*(1+$B$10)*$B$4+$D14)/$C14,0)*$C14-$D14</f>
        <v>1029000</v>
      </c>
      <c r="D32" s="13" t="n">
        <f aca="false">ROUND(($B14*(1+$C$10)*$B$4+$D14)/$C14,0)*$C14-$D14</f>
        <v>1369000</v>
      </c>
      <c r="E32" s="15" t="n">
        <f aca="false">ROUND(B32/$D$4,0)</f>
        <v>58</v>
      </c>
      <c r="F32" s="16" t="n">
        <f aca="false">ROUND(C32/$D$4,0)</f>
        <v>87</v>
      </c>
      <c r="G32" s="16" t="n">
        <f aca="false">ROUND(D32/$D$4,0)</f>
        <v>116</v>
      </c>
    </row>
    <row r="33" customFormat="false" ht="15" hidden="false" customHeight="false" outlineLevel="0" collapsed="false">
      <c r="A33" s="4" t="s">
        <v>19</v>
      </c>
      <c r="B33" s="13" t="n">
        <f aca="false">ROUND(($B15*$B$4+$D15)/$C15,0)*$C15-$D15</f>
        <v>1679000</v>
      </c>
      <c r="C33" s="13" t="n">
        <f aca="false">ROUND(($B15*(1+$B$10)*$B$4+$D15)/$C15,0)*$C15-$D15</f>
        <v>2519000</v>
      </c>
      <c r="D33" s="13" t="n">
        <f aca="false">ROUND(($B15*(1+$C$10)*$B$4+$D15)/$C15,0)*$C15-$D15</f>
        <v>3359000</v>
      </c>
      <c r="E33" s="15" t="n">
        <f aca="false">ROUND(B33/$D$4,0)</f>
        <v>142</v>
      </c>
      <c r="F33" s="16" t="n">
        <f aca="false">ROUND(C33/$D$4,0)</f>
        <v>213</v>
      </c>
      <c r="G33" s="16" t="n">
        <f aca="false">ROUND(D33/$D$4,0)</f>
        <v>284</v>
      </c>
    </row>
    <row r="34" customFormat="false" ht="15" hidden="false" customHeight="false" outlineLevel="0" collapsed="false">
      <c r="A34" s="4" t="s">
        <v>20</v>
      </c>
      <c r="B34" s="13" t="n">
        <f aca="false">ROUND(($B16*$B$4+$D16)/$C16,0)*$C16-$D16</f>
        <v>13990000</v>
      </c>
      <c r="C34" s="13" t="n">
        <f aca="false">ROUND(($B16*(1+$B$10)*$B$4+$D16)/$C16,0)*$C16-$D16</f>
        <v>20990000</v>
      </c>
      <c r="D34" s="13" t="n">
        <f aca="false">ROUND(($B16*(1+$C$10)*$B$4+$D16)/$C16,0)*$C16-$D16</f>
        <v>27990000</v>
      </c>
      <c r="E34" s="15" t="n">
        <f aca="false">ROUND(B34/$D$4,0)</f>
        <v>1185</v>
      </c>
      <c r="F34" s="16" t="n">
        <f aca="false">ROUND(C34/$D$4,0)</f>
        <v>1778</v>
      </c>
      <c r="G34" s="16" t="n">
        <f aca="false">ROUND(D34/$D$4,0)</f>
        <v>2371</v>
      </c>
    </row>
    <row r="36" customFormat="false" ht="15" hidden="false" customHeight="false" outlineLevel="0" collapsed="false">
      <c r="A36" s="2" t="s">
        <v>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2026-09-29T11:31:55Z</dcterms:created>
  <dc:creator>openpyxl</dc:creator>
  <dc:description/>
  <dc:language>en-US</dc:language>
  <cp:lastModifiedBy/>
  <dcterms:modified xsi:type="dcterms:W3CDTF">2026-09-29T11:31:55Z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