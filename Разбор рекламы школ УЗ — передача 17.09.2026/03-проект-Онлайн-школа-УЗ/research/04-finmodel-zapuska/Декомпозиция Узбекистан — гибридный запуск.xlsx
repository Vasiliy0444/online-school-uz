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одель продаж - гибридная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D8" authorId="0">
      <text>
        <r>
          <rPr>
            <sz val="10"/>
            <rFont val="Arial"/>
            <family val="2"/>
          </rPr>
          <t xml:space="preserve">Сумма таблицы «От куда?» справа; таргет = вложили в трафик ÷ цена регистрации.</t>
        </r>
      </text>
    </comment>
    <comment ref="D9" authorId="0">
      <text>
        <r>
          <rPr>
            <sz val="10"/>
            <rFont val="Arial"/>
            <family val="2"/>
          </rPr>
          <t xml:space="preserve">Лид в образовании УЗ — 2,3–3,6 $ (https://aksanov.digital/blog/meta-ads/analiz-kampaniy); в сезон июль–сентябрь 10–12 $ (https://t.me/s/targetologi_uz); база брифа рынка — 6 $.</t>
        </r>
      </text>
    </comment>
    <comment ref="D10" authorId="0">
      <text>
        <r>
          <rPr>
            <sz val="10"/>
            <rFont val="Arial"/>
            <family val="2"/>
          </rPr>
          <t xml:space="preserve">Доходимость до вебинара: в среднем 15–20% (https://www.sostav.ru/blogs/287076/96331); 20–30% — норма, 50% — хорошо (https://vc.ru/id972483/798734-dohodimost-do-vebinara-kakoi-procent-optimalnyi).</t>
        </r>
      </text>
    </comment>
    <comment ref="D13" authorId="0">
      <text>
        <r>
          <rPr>
            <sz val="10"/>
            <rFont val="Arial"/>
            <family val="2"/>
          </rPr>
          <t xml:space="preserve">Из шаблона: пик = 60% участников. Вынесено из формулы в ячейку.</t>
        </r>
      </text>
    </comment>
    <comment ref="D16" authorId="0">
      <text>
        <r>
          <rPr>
            <sz val="10"/>
            <rFont val="Arial"/>
            <family val="2"/>
          </rPr>
          <t xml:space="preserve">Со вебинара покупают 5–20% зрителей (skillspace.ru, РФ); в брифе рынка заявки — 12% участников, оплачивают 40%. Доли автооплат и предоплат — оценка.</t>
        </r>
      </text>
    </comment>
    <comment ref="D24" authorId="0">
      <text>
        <r>
          <rPr>
            <sz val="10"/>
            <rFont val="Arial"/>
            <family val="2"/>
          </rPr>
          <t xml:space="preserve">Заказ → оплата 66,8% (https://getcourse.ru/magazine/analitika_2025); в примере финмодели школы — 46%.</t>
        </r>
      </text>
    </comment>
    <comment ref="D26" authorId="0">
      <text>
        <r>
          <rPr>
            <sz val="10"/>
            <rFont val="Arial"/>
            <family val="2"/>
          </rPr>
          <t xml:space="preserve">Звонок → оплата 50–55% по гайду (не проверено); база брифа рынка — 40%.</t>
        </r>
      </text>
    </comment>
    <comment ref="D28" authorId="0">
      <text>
        <r>
          <rPr>
            <sz val="10"/>
            <rFont val="Arial"/>
            <family val="2"/>
          </rPr>
          <t xml:space="preserve">Дожим в боте всех, кто зарегистрировался и не купил: ИИ-продавец пишет текстом, горячих закрывает менеджер. Считается от «регистраций − заказы − автооплаты − предоплаты». Ставка — оценка: ответили 20–30% бывших на вебинаре и 6–10% не дошедших, из диалогов 1–2% платят сами и 6–10% уходят менеджеру.</t>
        </r>
      </text>
    </comment>
    <comment ref="D35" authorId="0">
      <text>
        <r>
          <rPr>
            <sz val="10"/>
            <rFont val="Arial"/>
            <family val="2"/>
          </rPr>
          <t xml:space="preserve">Чек 300 $ — по ответу Васи. У конкурентов в УЗ: фриланс 170–595 $, ИИ-академии 255–510 $; база брифа — 212 $.</t>
        </r>
      </text>
    </comment>
    <comment ref="D36" authorId="0">
      <text>
        <r>
          <rPr>
            <sz val="10"/>
            <rFont val="Arial"/>
            <family val="2"/>
          </rPr>
          <t xml:space="preserve">Сколько зарегистрировавшихся подпишутся на ТГ-канал школы. Оценка — данных по УЗ нет.</t>
        </r>
      </text>
    </comment>
    <comment ref="D70" authorId="0">
      <text>
        <r>
          <rPr>
            <sz val="10"/>
            <rFont val="Arial"/>
            <family val="2"/>
          </rPr>
          <t xml:space="preserve">Дожим в боте всех, кто зарегистрировался и не купил: ИИ-продавец пишет текстом, горячих закрывает менеджер. Считается от «регистраций − заказы − автооплаты − предоплаты». Ставка — оценка: ответили 20–30% бывших на вебинаре и 6–10% не дошедших, из диалогов 1–2% платят сами и 6–10% уходят менеджеру.</t>
        </r>
      </text>
    </comment>
    <comment ref="H12" authorId="0">
      <text>
        <r>
          <rPr>
            <sz val="10"/>
            <rFont val="Arial"/>
            <family val="2"/>
          </rPr>
          <t xml:space="preserve">Новая школа: своей базы на старте нет — 0. Если есть канал, бот или блогеры — впиши план.</t>
        </r>
      </text>
    </comment>
    <comment ref="I11" authorId="0">
      <text>
        <r>
          <rPr>
            <sz val="10"/>
            <rFont val="Arial"/>
            <family val="2"/>
          </rPr>
          <t xml:space="preserve">Таргет = вложили в трафик ÷ цена регистрации (общий план слева).</t>
        </r>
      </text>
    </comment>
    <comment ref="N70" authorId="0">
      <text>
        <r>
          <rPr>
            <sz val="10"/>
            <rFont val="Arial"/>
            <family val="2"/>
          </rPr>
          <t xml:space="preserve">Дожим в боте всех, кто зарегистрировался и не купил: ИИ-продавец пишет текстом, горячих закрывает менеджер. Считается от «регистраций − заказы − автооплаты − предоплаты». Ставка — оценка: ответили 20–30% бывших на вебинаре и 6–10% не дошедших, из диалогов 1–2% платят сами и 6–10% уходят менеджеру.</t>
        </r>
      </text>
    </comment>
    <comment ref="R14" authorId="0">
      <text>
        <r>
          <rPr>
            <sz val="10"/>
            <rFont val="Arial"/>
            <family val="2"/>
          </rPr>
          <t xml:space="preserve">Рассрочка 0% на 6–12 мес через Uzum и Alif — стандарт рынка УЗ (бриф рынка). Доля 25% — оценка: 30% реальна только при двух провайдерах и 0% на 12 мес. Стартовый лимит Uzum Nasiya — 800 тыс. сум (https://t.me/uzumnasiyauz/704), курс дороже. Подробно — research/06-intervyu-praktika/РАССРОЧКИ-ДЛЯ-ШКОЛ.md.</t>
        </r>
      </text>
    </comment>
    <comment ref="R16" authorId="0">
      <text>
        <r>
          <rPr>
            <sz val="10"/>
            <rFont val="Arial"/>
            <family val="2"/>
          </rPr>
          <t xml:space="preserve">Payme / Click / Uzum: 0,8–2% (https://uzneo.uz/blog/payme-click-uzum-podklyuchit-oplatu).</t>
        </r>
      </text>
    </comment>
    <comment ref="R17" authorId="0">
      <text>
        <r>
          <rPr>
            <sz val="10"/>
            <rFont val="Arial"/>
            <family val="2"/>
          </rPr>
          <t xml:space="preserve">Ставки Uzum и Alif для школ не публикуются — запросить КП (задача CURSOR-q1z0). Оценка по стоимости денег: 3 мес ~7%, 6 мес ~12%, 12 мес ~20%. Проверка: при наценке покупателю 27–44% за 12 мес эквивалентная скидка 21–31% (https://www.gazeta.uz/ru/2025/07/02/nasiya-iphone/).</t>
        </r>
      </text>
    </comment>
    <comment ref="R19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R20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R21" authorId="0">
      <text>
        <r>
          <rPr>
            <sz val="10"/>
            <rFont val="Arial"/>
            <family val="2"/>
          </rPr>
          <t xml:space="preserve">Возвраты 5% — допущение брифа рынка.</t>
        </r>
      </text>
    </comment>
    <comment ref="R27" authorId="0">
      <text>
        <r>
          <rPr>
            <sz val="10"/>
            <rFont val="Arial"/>
            <family val="2"/>
          </rPr>
          <t xml:space="preserve">Разработка ИИ-бота в УЗ — 5–25 млн сум; ИИ и хостинг — 0,3–3 млн сум в месяц (https://innosoft.uz/blog/ai-narxi-2026).</t>
        </r>
      </text>
    </comment>
    <comment ref="R28" authorId="0">
      <text>
        <r>
          <rPr>
            <sz val="10"/>
            <rFont val="Arial"/>
            <family val="2"/>
          </rPr>
          <t xml:space="preserve">Разработка ИИ-бота в УЗ — 5–25 млн сум; ИИ и хостинг — 0,3–3 млн сум в месяц (https://innosoft.uz/blog/ai-narxi-2026).</t>
        </r>
      </text>
    </comment>
    <comment ref="R29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R30" authorId="0">
      <text>
        <r>
          <rPr>
            <sz val="10"/>
            <rFont val="Arial"/>
            <family val="2"/>
          </rPr>
          <t xml:space="preserve">Затраты на продажи 10% выручки — допущение брифа рынка.</t>
        </r>
      </text>
    </comment>
    <comment ref="R31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R32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R33" authorId="0">
      <text>
        <r>
          <rPr>
            <sz val="10"/>
            <rFont val="Arial"/>
            <family val="2"/>
          </rPr>
          <t xml:space="preserve">Кураторы 10–25 $ на ученика — допущение брифа рынка.</t>
        </r>
      </text>
    </comment>
    <comment ref="R34" authorId="0">
      <text>
        <r>
          <rPr>
            <sz val="10"/>
            <rFont val="Arial"/>
            <family val="2"/>
          </rPr>
          <t xml:space="preserve">ООО — налог с оборота 4%. Порог с 01.06.2026 — 12 000 БРВ ≈ 5 млрд сум (https://lex.uz/ru/docs/8237115); в тексте НК пока 1 млрд — уточнить у юриста.</t>
        </r>
      </text>
    </comment>
    <comment ref="R72" authorId="0">
      <text>
        <r>
          <rPr>
            <sz val="10"/>
            <rFont val="Arial"/>
            <family val="2"/>
          </rPr>
          <t xml:space="preserve">Дожим в боте тех, кто зарегистрировался на марафон и не купил: ИИ-продавец + менеджер. Ставка — оценка.</t>
        </r>
      </text>
    </comment>
    <comment ref="W51" authorId="0">
      <text>
        <r>
          <rPr>
            <sz val="10"/>
            <rFont val="Arial"/>
            <family val="2"/>
          </rPr>
          <t xml:space="preserve">Если у эксперта уже есть канал — впиши.</t>
        </r>
      </text>
    </comment>
    <comment ref="W52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W53" authorId="0">
      <text>
        <r>
          <rPr>
            <sz val="10"/>
            <rFont val="Arial"/>
            <family val="2"/>
          </rPr>
          <t xml:space="preserve">Отписки 8–12% подписчиков (https://vc.ru/telegram/1425019-kak-poschitat-okupaemost-telegram-kanala, РФ).</t>
        </r>
      </text>
    </comment>
    <comment ref="W57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W59" authorId="0">
      <text>
        <r>
          <rPr>
            <sz val="10"/>
            <rFont val="Arial"/>
            <family val="2"/>
          </rPr>
          <t xml:space="preserve">Холодный марафон: день 1 — 25%, день 2 — 14% регистраций; тёплый: день 1 — 68%, на день 2 вернулись 72% (vc.ru, РФ).</t>
        </r>
      </text>
    </comment>
    <comment ref="W68" authorId="0">
      <text>
        <r>
          <rPr>
            <sz val="10"/>
            <rFont val="Arial"/>
            <family val="2"/>
          </rPr>
          <t xml:space="preserve">Заказ → оплата 66,8% (https://getcourse.ru/magazine/analitika_2025); в примере финмодели школы — 46%.</t>
        </r>
      </text>
    </comment>
    <comment ref="W70" authorId="0">
      <text>
        <r>
          <rPr>
            <sz val="10"/>
            <rFont val="Arial"/>
            <family val="2"/>
          </rPr>
          <t xml:space="preserve">Звонок → оплата 50–55% по гайду (не проверено); база брифа рынка — 40%.</t>
        </r>
      </text>
    </comment>
    <comment ref="W72" authorId="0">
      <text>
        <r>
          <rPr>
            <sz val="10"/>
            <rFont val="Arial"/>
            <family val="2"/>
          </rPr>
          <t xml:space="preserve">Дожим в боте тех, кто зарегистрировался на марафон и не купил: ИИ-продавец + менеджер. Ставка — оценка.</t>
        </r>
      </text>
    </comment>
    <comment ref="W78" authorId="0">
      <text>
        <r>
          <rPr>
            <sz val="10"/>
            <rFont val="Arial"/>
            <family val="2"/>
          </rPr>
          <t xml:space="preserve">Чек 300 $ — по ответу Васи. У конкурентов в УЗ: фриланс 170–595 $, ИИ-академии 255–510 $; база брифа — 212 $.</t>
        </r>
      </text>
    </comment>
    <comment ref="AB72" authorId="0">
      <text>
        <r>
          <rPr>
            <sz val="10"/>
            <rFont val="Arial"/>
            <family val="2"/>
          </rPr>
          <t xml:space="preserve">Дожим в боте тех, кто зарегистрировался на марафон и не купил: ИИ-продавец + менеджер. Ставка — оценка.</t>
        </r>
      </text>
    </comment>
  </commentList>
</comments>
</file>

<file path=xl/sharedStrings.xml><?xml version="1.0" encoding="utf-8"?>
<sst xmlns="http://schemas.openxmlformats.org/spreadsheetml/2006/main" count="307" uniqueCount="128">
  <si>
    <t xml:space="preserve">Суть модели:</t>
  </si>
  <si>
    <t xml:space="preserve">Этап 1 — запуск через вебинар: таргет → регистрация в Telegram-бота → вебинар → автооплаты, предоплаты и заказы; брони и заказы закрывает менеджер, остальных дожимает ИИ-продавец в боте. Часть людей подписывается на ТГ-канал. Этап 2 — через 2 месяца запуск в ТГ-канале: марафон 2 дня. Итог двух этапов считается по средним сценариям.</t>
  </si>
  <si>
    <t xml:space="preserve">ЭТАП 1. ЗАПУСК ЧЕРЕЗ ВЕБИНАР — холодный трафик с таргета</t>
  </si>
  <si>
    <t xml:space="preserve">ИТОГ ДВУХ ЭТАПОВ — сколько денег за 2 запуска и окупили ли (по средним сценариям)</t>
  </si>
  <si>
    <t xml:space="preserve">ОБЩИЙ ПЛАН — декомпозиция продаж через вебинар</t>
  </si>
  <si>
    <t xml:space="preserve">Декомпозиция регистрации</t>
  </si>
  <si>
    <t xml:space="preserve">ОБЩИЙ ИТОГ ЗА 2 ЗАПУСКА (2 месяца)</t>
  </si>
  <si>
    <t xml:space="preserve">МАРКЕТИНГ И ВОРОНКА</t>
  </si>
  <si>
    <t xml:space="preserve">Регистраций:</t>
  </si>
  <si>
    <t xml:space="preserve">От куда?</t>
  </si>
  <si>
    <t xml:space="preserve">План</t>
  </si>
  <si>
    <t xml:space="preserve">Факт</t>
  </si>
  <si>
    <t xml:space="preserve">ПРОДАЖИ</t>
  </si>
  <si>
    <t xml:space="preserve">План продаж этап 1 — вебинар (средний)</t>
  </si>
  <si>
    <t xml:space="preserve">Цена регистрации (таргет)</t>
  </si>
  <si>
    <t xml:space="preserve">План продаж этап 2 — ТГ-канал (средний)</t>
  </si>
  <si>
    <t xml:space="preserve">Доходимость:</t>
  </si>
  <si>
    <t xml:space="preserve">Итого</t>
  </si>
  <si>
    <t xml:space="preserve">ПЛАН ОП ПРОДАЖ</t>
  </si>
  <si>
    <t xml:space="preserve">Участников на вебинаре:</t>
  </si>
  <si>
    <t xml:space="preserve">Таргет (Instagram / Facebook)</t>
  </si>
  <si>
    <t xml:space="preserve">ПЛАН ПРОДАЖ ЗАПУСК: 2 запуска за 2 месяца</t>
  </si>
  <si>
    <t xml:space="preserve">Пик:</t>
  </si>
  <si>
    <t xml:space="preserve">Телеграм канал</t>
  </si>
  <si>
    <t xml:space="preserve">Продаж за 2 запуска, шт</t>
  </si>
  <si>
    <t xml:space="preserve">Пик, % от участников</t>
  </si>
  <si>
    <t xml:space="preserve">Бот</t>
  </si>
  <si>
    <t xml:space="preserve">ДЕНЬГИ</t>
  </si>
  <si>
    <t xml:space="preserve">Полная оплата, % продаж</t>
  </si>
  <si>
    <t xml:space="preserve">Оставили заказ:</t>
  </si>
  <si>
    <t xml:space="preserve">Емайл</t>
  </si>
  <si>
    <t xml:space="preserve">Рассрочка Uzum Nasiya / Alif, % продаж</t>
  </si>
  <si>
    <t xml:space="preserve">Сумма заказов:</t>
  </si>
  <si>
    <t xml:space="preserve">Спам тг</t>
  </si>
  <si>
    <t xml:space="preserve">Своя рассрочка школы, % продаж (остаток)</t>
  </si>
  <si>
    <t xml:space="preserve">Конверсия из участника в заказ</t>
  </si>
  <si>
    <t xml:space="preserve">Спам вотс ап</t>
  </si>
  <si>
    <t xml:space="preserve">Эквайринг Payme / Click / Uzum, %</t>
  </si>
  <si>
    <t xml:space="preserve">Автооплат шт</t>
  </si>
  <si>
    <t xml:space="preserve">СМС</t>
  </si>
  <si>
    <t xml:space="preserve">Комиссия рассрочки Uzum / Alif для школы, %</t>
  </si>
  <si>
    <t xml:space="preserve">Сумма автооплат</t>
  </si>
  <si>
    <t xml:space="preserve">ВКонтакте</t>
  </si>
  <si>
    <t xml:space="preserve">Своя рассрочка: срок, мес</t>
  </si>
  <si>
    <t xml:space="preserve">Конверсия в автооплаты</t>
  </si>
  <si>
    <t xml:space="preserve">Каналы прошлых мероприятий</t>
  </si>
  <si>
    <t xml:space="preserve">Своя рассрочка: первый платёж, % цены</t>
  </si>
  <si>
    <t xml:space="preserve">Предоплат шт</t>
  </si>
  <si>
    <t xml:space="preserve">Отдел продаж</t>
  </si>
  <si>
    <t xml:space="preserve">Своя рассрочка: не доплатят, % остатка</t>
  </si>
  <si>
    <t xml:space="preserve">Конверсия в предоплату</t>
  </si>
  <si>
    <t xml:space="preserve">Блогеры</t>
  </si>
  <si>
    <t xml:space="preserve">Возвраты, % выручки</t>
  </si>
  <si>
    <t xml:space="preserve">ОТДЕЛ ПРОДАЖ</t>
  </si>
  <si>
    <t xml:space="preserve">Заявок на оп</t>
  </si>
  <si>
    <t xml:space="preserve">Пришло денег сразу</t>
  </si>
  <si>
    <t xml:space="preserve">Сумма заявок на оп</t>
  </si>
  <si>
    <t xml:space="preserve">Придёт позже частями по своей рассрочке</t>
  </si>
  <si>
    <t xml:space="preserve">CV ОП - БРОНЬ</t>
  </si>
  <si>
    <t xml:space="preserve">Съели эквайринг, комиссии, невыплаты и возвраты</t>
  </si>
  <si>
    <t xml:space="preserve">План закрытые брони</t>
  </si>
  <si>
    <t xml:space="preserve">Чистые деньги за 2 запуска</t>
  </si>
  <si>
    <t xml:space="preserve">СV ОП - ЗАКАЗ</t>
  </si>
  <si>
    <t xml:space="preserve">РАСХОДЫ</t>
  </si>
  <si>
    <t xml:space="preserve">Вложили в трафик (этап 1, средний)</t>
  </si>
  <si>
    <t xml:space="preserve">План закрытые заявки</t>
  </si>
  <si>
    <t xml:space="preserve">ИИ-продавец: разработка, разово</t>
  </si>
  <si>
    <t xml:space="preserve">CV ОП - ВЕБИНАРНЫЕ: дожим в боте (ИИ-продавец + менеджер)</t>
  </si>
  <si>
    <t xml:space="preserve">ИИ-продавец: ИИ и хостинг, $ в месяц</t>
  </si>
  <si>
    <t xml:space="preserve">План закрытия вебинарные</t>
  </si>
  <si>
    <t xml:space="preserve">Менеджер: оклад, $ в месяц</t>
  </si>
  <si>
    <t xml:space="preserve">ИТОГИ</t>
  </si>
  <si>
    <t xml:space="preserve">Оплат оп</t>
  </si>
  <si>
    <t xml:space="preserve">Менеджер: % с плана ОП продаж</t>
  </si>
  <si>
    <t xml:space="preserve">Сумма с оп</t>
  </si>
  <si>
    <t xml:space="preserve">Команда на 2 запуска: таргетолог, техспец, дизайнер, монтаж</t>
  </si>
  <si>
    <t xml:space="preserve">Вложили в трафик</t>
  </si>
  <si>
    <t xml:space="preserve">Сервисы: бот, стрим, лендинг, $ в месяц</t>
  </si>
  <si>
    <t xml:space="preserve">Окупаемость трафика</t>
  </si>
  <si>
    <t xml:space="preserve">Кураторы на 1 ученика</t>
  </si>
  <si>
    <t xml:space="preserve">План продаж</t>
  </si>
  <si>
    <t xml:space="preserve">Налог с оборота, %</t>
  </si>
  <si>
    <t xml:space="preserve">Ср. чек</t>
  </si>
  <si>
    <t xml:space="preserve">Длительность сценария, мес</t>
  </si>
  <si>
    <t xml:space="preserve">ТГ-КАНАЛ</t>
  </si>
  <si>
    <t xml:space="preserve">Подписались на ТГ-канал, % регистраций</t>
  </si>
  <si>
    <t xml:space="preserve">РАСХОДЫ ВСЕГО за 2 запуска</t>
  </si>
  <si>
    <t xml:space="preserve">Подписались на ТГ-канал, чел</t>
  </si>
  <si>
    <t xml:space="preserve">ИТОГ</t>
  </si>
  <si>
    <t xml:space="preserve">ПРИБЫЛЬ ЗА 2 ЗАПУСКА</t>
  </si>
  <si>
    <t xml:space="preserve">Окупили вложения за 2 месяца?</t>
  </si>
  <si>
    <t xml:space="preserve">Окупаемость вложений: чистые деньги ÷ расходы</t>
  </si>
  <si>
    <t xml:space="preserve">Окупаемость трафика: выручка ÷ трафик</t>
  </si>
  <si>
    <t xml:space="preserve">Прибыль без разовой разработки ИИ</t>
  </si>
  <si>
    <t xml:space="preserve">Нужно вложить до первых продаж</t>
  </si>
  <si>
    <t xml:space="preserve">НИЖЕ РАЗНЫЕ СЦЕНАРИИ ПЛАНА ПРОДАЖ — ЭТАП 1 (ВЕБИНАР)</t>
  </si>
  <si>
    <t xml:space="preserve">ЭТАП 2. ЗАПУСК ЧЕРЕЗ ТГ-КАНАЛ — марафон 2 дня: разные сценарии плана продаж</t>
  </si>
  <si>
    <t xml:space="preserve">ПЛАН МИНИМУМ</t>
  </si>
  <si>
    <t xml:space="preserve">ПЛАН СРЕДНИЙ (= общий план)</t>
  </si>
  <si>
    <t xml:space="preserve">ПЛАН МАКСИМУМ</t>
  </si>
  <si>
    <t xml:space="preserve">ПЛАН СРЕДНИЙ</t>
  </si>
  <si>
    <t xml:space="preserve">ПРОГРЕВ</t>
  </si>
  <si>
    <t xml:space="preserve">Подписались на ТГ-канал в этапе 1</t>
  </si>
  <si>
    <t xml:space="preserve">Подписчиков в канале было до этапа 1</t>
  </si>
  <si>
    <t xml:space="preserve">Органический прирост за 2 месяца</t>
  </si>
  <si>
    <t xml:space="preserve">Отписки за 2 месяца, %</t>
  </si>
  <si>
    <t xml:space="preserve">Уже купили в этапе 1 — не целевые</t>
  </si>
  <si>
    <t xml:space="preserve">Средние охваты: база ТГ-канала к запуску</t>
  </si>
  <si>
    <t xml:space="preserve">Людей в анкете: регистраций на марафон</t>
  </si>
  <si>
    <t xml:space="preserve">CV охват - анкета: база канала → регистрация</t>
  </si>
  <si>
    <t xml:space="preserve">МАРКЕТИНГ ВОРОНКА</t>
  </si>
  <si>
    <t xml:space="preserve">Дошли до продающего дня марафона</t>
  </si>
  <si>
    <t xml:space="preserve">Доходимость: день 1, % регистраций</t>
  </si>
  <si>
    <t xml:space="preserve">Доходимость: день 2 (продажа), % от дня 1</t>
  </si>
  <si>
    <t xml:space="preserve">Автооплаты</t>
  </si>
  <si>
    <t xml:space="preserve">СV автооплата - участники</t>
  </si>
  <si>
    <t xml:space="preserve">Брони</t>
  </si>
  <si>
    <t xml:space="preserve">СV бронь - участники</t>
  </si>
  <si>
    <t xml:space="preserve">Заказы</t>
  </si>
  <si>
    <t xml:space="preserve">CV заказ - участники</t>
  </si>
  <si>
    <t xml:space="preserve">Заявок в работу на ОП</t>
  </si>
  <si>
    <t xml:space="preserve">CV ОП - АНКЕТА: дожим в боте (ИИ-продавец + менеджер)</t>
  </si>
  <si>
    <t xml:space="preserve">План закрытия анкеты: дожим тех, кто не купил</t>
  </si>
  <si>
    <t xml:space="preserve">Итого продаж ОП</t>
  </si>
  <si>
    <t xml:space="preserve">План ОП сумма</t>
  </si>
  <si>
    <t xml:space="preserve">Итого автооплат</t>
  </si>
  <si>
    <t xml:space="preserve">Итог общ</t>
  </si>
  <si>
    <t xml:space="preserve">Средний чек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</si>
</sst>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;[RED]&quot;-$&quot;#,##0"/>
    <numFmt numFmtId="167" formatCode="\$#,##0.00"/>
    <numFmt numFmtId="168" formatCode="0.0%"/>
    <numFmt numFmtId="169" formatCode="0"/>
    <numFmt numFmtId="170" formatCode="0.00%"/>
    <numFmt numFmtId="171" formatCode="0%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0"/>
      <color theme="1"/>
      <name val="Montserrat"/>
      <family val="0"/>
      <charset val="1"/>
    </font>
    <font>
      <b val="true"/>
      <sz val="13"/>
      <color theme="1"/>
      <name val="Montserrat"/>
      <family val="0"/>
      <charset val="1"/>
    </font>
    <font>
      <b val="true"/>
      <sz val="11"/>
      <color theme="1"/>
      <name val="Montserrat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Montserrat"/>
      <family val="0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2CC"/>
      </patternFill>
    </fill>
    <fill>
      <patternFill patternType="solid">
        <fgColor rgb="FFFFE599"/>
        <bgColor rgb="FFFCE5CD"/>
      </patternFill>
    </fill>
    <fill>
      <patternFill patternType="solid">
        <fgColor rgb="FFD9EAD3"/>
        <bgColor rgb="FFCFE2F3"/>
      </patternFill>
    </fill>
    <fill>
      <patternFill patternType="solid">
        <fgColor rgb="FFC9DAF8"/>
        <bgColor rgb="FFCFE2F3"/>
      </patternFill>
    </fill>
    <fill>
      <patternFill patternType="solid">
        <fgColor rgb="FFB6D7A8"/>
        <bgColor rgb="FFD9EAD3"/>
      </patternFill>
    </fill>
    <fill>
      <patternFill patternType="solid">
        <fgColor rgb="FFCFE2F3"/>
        <bgColor rgb="FFC9DAF8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00FF00"/>
        <bgColor rgb="FF33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2CC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5CD"/>
      <rgbColor rgb="FFD9EAD3"/>
      <rgbColor rgb="FFFFE5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D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6" min="5" style="0" width="3"/>
    <col collapsed="false" customWidth="true" hidden="false" outlineLevel="0" max="7" min="7" style="0" width="14"/>
    <col collapsed="false" customWidth="true" hidden="false" outlineLevel="0" max="8" min="8" style="0" width="46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"/>
    <col collapsed="false" customWidth="true" hidden="false" outlineLevel="0" max="12" min="12" style="0" width="14"/>
    <col collapsed="false" customWidth="true" hidden="false" outlineLevel="0" max="13" min="13" style="0" width="46"/>
    <col collapsed="false" customWidth="true" hidden="false" outlineLevel="0" max="14" min="14" style="0" width="16"/>
    <col collapsed="false" customWidth="true" hidden="false" outlineLevel="0" max="15" min="15" style="0" width="4"/>
    <col collapsed="false" customWidth="true" hidden="false" outlineLevel="0" max="16" min="16" style="0" width="14"/>
    <col collapsed="false" customWidth="true" hidden="false" outlineLevel="0" max="17" min="17" style="0" width="50"/>
    <col collapsed="false" customWidth="true" hidden="false" outlineLevel="0" max="18" min="18" style="0" width="16"/>
    <col collapsed="false" customWidth="true" hidden="false" outlineLevel="0" max="20" min="19" style="0" width="3"/>
    <col collapsed="false" customWidth="true" hidden="false" outlineLevel="0" max="21" min="21" style="0" width="14"/>
    <col collapsed="false" customWidth="true" hidden="false" outlineLevel="0" max="22" min="22" style="0" width="50"/>
    <col collapsed="false" customWidth="true" hidden="false" outlineLevel="0" max="23" min="23" style="0" width="16"/>
    <col collapsed="false" customWidth="true" hidden="false" outlineLevel="0" max="25" min="24" style="0" width="3"/>
    <col collapsed="false" customWidth="true" hidden="false" outlineLevel="0" max="26" min="26" style="0" width="14"/>
    <col collapsed="false" customWidth="true" hidden="false" outlineLevel="0" max="27" min="27" style="0" width="50"/>
    <col collapsed="false" customWidth="true" hidden="false" outlineLevel="0" max="28" min="28" style="0" width="16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48" hidden="false" customHeight="true" outlineLevel="0" collapsed="false">
      <c r="A3" s="1"/>
      <c r="B3" s="2" t="s">
        <v>0</v>
      </c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1"/>
      <c r="AD3" s="1"/>
    </row>
    <row r="4" customFormat="false" ht="15.7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30" hidden="false" customHeight="true" outlineLevel="0" collapsed="false">
      <c r="A5" s="1"/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"/>
      <c r="P5" s="4" t="s">
        <v>3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1"/>
      <c r="AD5" s="1"/>
    </row>
    <row r="6" customFormat="false" ht="15.7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36" hidden="false" customHeight="true" outlineLevel="0" collapsed="false">
      <c r="A7" s="1"/>
      <c r="B7" s="5" t="s">
        <v>4</v>
      </c>
      <c r="C7" s="5"/>
      <c r="D7" s="5"/>
      <c r="E7" s="1"/>
      <c r="F7" s="1"/>
      <c r="G7" s="1"/>
      <c r="H7" s="5" t="s">
        <v>5</v>
      </c>
      <c r="I7" s="5"/>
      <c r="J7" s="5"/>
      <c r="K7" s="1"/>
      <c r="L7" s="1"/>
      <c r="M7" s="1"/>
      <c r="N7" s="1"/>
      <c r="O7" s="1"/>
      <c r="P7" s="5" t="s">
        <v>6</v>
      </c>
      <c r="Q7" s="5"/>
      <c r="R7" s="5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7.9" hidden="false" customHeight="true" outlineLevel="0" collapsed="false">
      <c r="A8" s="1"/>
      <c r="B8" s="6" t="s">
        <v>7</v>
      </c>
      <c r="C8" s="7" t="s">
        <v>8</v>
      </c>
      <c r="D8" s="8" t="n">
        <f aca="false">I10</f>
        <v>1250</v>
      </c>
      <c r="E8" s="1"/>
      <c r="F8" s="1"/>
      <c r="G8" s="1"/>
      <c r="H8" s="9" t="s">
        <v>9</v>
      </c>
      <c r="I8" s="9" t="s">
        <v>10</v>
      </c>
      <c r="J8" s="10" t="s">
        <v>11</v>
      </c>
      <c r="K8" s="1"/>
      <c r="L8" s="1"/>
      <c r="M8" s="1"/>
      <c r="N8" s="1"/>
      <c r="O8" s="1"/>
      <c r="P8" s="11" t="s">
        <v>12</v>
      </c>
      <c r="Q8" s="7" t="s">
        <v>13</v>
      </c>
      <c r="R8" s="12" t="n">
        <f aca="false">I76</f>
        <v>7250.859375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34.3" hidden="false" customHeight="false" outlineLevel="0" collapsed="false">
      <c r="A9" s="1"/>
      <c r="B9" s="6"/>
      <c r="C9" s="13" t="s">
        <v>14</v>
      </c>
      <c r="D9" s="14" t="n">
        <v>4</v>
      </c>
      <c r="E9" s="1"/>
      <c r="F9" s="1"/>
      <c r="G9" s="1"/>
      <c r="H9" s="9"/>
      <c r="I9" s="9"/>
      <c r="J9" s="9"/>
      <c r="K9" s="1"/>
      <c r="L9" s="1"/>
      <c r="M9" s="1"/>
      <c r="N9" s="1"/>
      <c r="O9" s="1"/>
      <c r="P9" s="11"/>
      <c r="Q9" s="7" t="s">
        <v>15</v>
      </c>
      <c r="R9" s="12" t="n">
        <f aca="false">W79</f>
        <v>600.426173067902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7.9" hidden="false" customHeight="false" outlineLevel="0" collapsed="false">
      <c r="A10" s="1"/>
      <c r="B10" s="6"/>
      <c r="C10" s="13" t="s">
        <v>16</v>
      </c>
      <c r="D10" s="15" t="n">
        <v>0.3</v>
      </c>
      <c r="E10" s="1"/>
      <c r="F10" s="1"/>
      <c r="G10" s="1"/>
      <c r="H10" s="16" t="s">
        <v>17</v>
      </c>
      <c r="I10" s="17" t="n">
        <f aca="false">SUM(I11:I21)</f>
        <v>1250</v>
      </c>
      <c r="J10" s="17"/>
      <c r="K10" s="1"/>
      <c r="L10" s="1"/>
      <c r="M10" s="1"/>
      <c r="N10" s="1"/>
      <c r="O10" s="1"/>
      <c r="P10" s="11"/>
      <c r="Q10" s="7" t="s">
        <v>18</v>
      </c>
      <c r="R10" s="12" t="n">
        <f aca="false">I73+W75</f>
        <v>5984.03544023099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34.3" hidden="false" customHeight="false" outlineLevel="0" collapsed="false">
      <c r="A11" s="1"/>
      <c r="B11" s="6"/>
      <c r="C11" s="7" t="s">
        <v>19</v>
      </c>
      <c r="D11" s="8" t="n">
        <f aca="false">D8*D10</f>
        <v>375</v>
      </c>
      <c r="E11" s="1"/>
      <c r="F11" s="1"/>
      <c r="G11" s="1"/>
      <c r="H11" s="16" t="s">
        <v>20</v>
      </c>
      <c r="I11" s="17" t="n">
        <f aca="false">IF(D9&gt;0,D32/D9,0)</f>
        <v>1250</v>
      </c>
      <c r="J11" s="17"/>
      <c r="K11" s="1"/>
      <c r="L11" s="1"/>
      <c r="M11" s="1"/>
      <c r="N11" s="1"/>
      <c r="O11" s="1"/>
      <c r="P11" s="11"/>
      <c r="Q11" s="18" t="s">
        <v>21</v>
      </c>
      <c r="R11" s="19" t="n">
        <f aca="false">R8+R9</f>
        <v>7851.2855480679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7.9" hidden="false" customHeight="false" outlineLevel="0" collapsed="false">
      <c r="A12" s="1"/>
      <c r="B12" s="6"/>
      <c r="C12" s="7" t="s">
        <v>22</v>
      </c>
      <c r="D12" s="8" t="n">
        <f aca="false">D11*D13</f>
        <v>225</v>
      </c>
      <c r="E12" s="1"/>
      <c r="F12" s="1"/>
      <c r="G12" s="1"/>
      <c r="H12" s="20" t="s">
        <v>23</v>
      </c>
      <c r="I12" s="21" t="n">
        <v>0</v>
      </c>
      <c r="J12" s="21"/>
      <c r="K12" s="1"/>
      <c r="L12" s="1"/>
      <c r="M12" s="1"/>
      <c r="N12" s="1"/>
      <c r="O12" s="1"/>
      <c r="P12" s="11"/>
      <c r="Q12" s="7" t="s">
        <v>24</v>
      </c>
      <c r="R12" s="8" t="n">
        <f aca="false">I72+I59+W77</f>
        <v>26.170951826893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7.9" hidden="false" customHeight="true" outlineLevel="0" collapsed="false">
      <c r="A13" s="1"/>
      <c r="B13" s="6"/>
      <c r="C13" s="13" t="s">
        <v>25</v>
      </c>
      <c r="D13" s="15" t="n">
        <v>0.6</v>
      </c>
      <c r="E13" s="1"/>
      <c r="F13" s="1"/>
      <c r="G13" s="1"/>
      <c r="H13" s="20" t="s">
        <v>26</v>
      </c>
      <c r="I13" s="21" t="n">
        <v>0</v>
      </c>
      <c r="J13" s="21"/>
      <c r="K13" s="1"/>
      <c r="L13" s="1"/>
      <c r="M13" s="1"/>
      <c r="N13" s="1"/>
      <c r="O13" s="1"/>
      <c r="P13" s="11" t="s">
        <v>27</v>
      </c>
      <c r="Q13" s="22" t="s">
        <v>28</v>
      </c>
      <c r="R13" s="23" t="n">
        <v>0.6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7.9" hidden="false" customHeight="false" outlineLevel="0" collapsed="false">
      <c r="A14" s="1"/>
      <c r="B14" s="6"/>
      <c r="C14" s="7" t="s">
        <v>29</v>
      </c>
      <c r="D14" s="8" t="n">
        <f aca="false">D11*D16</f>
        <v>22.5</v>
      </c>
      <c r="E14" s="1"/>
      <c r="F14" s="1"/>
      <c r="G14" s="1"/>
      <c r="H14" s="20" t="s">
        <v>30</v>
      </c>
      <c r="I14" s="21" t="n">
        <v>0</v>
      </c>
      <c r="J14" s="21"/>
      <c r="K14" s="1"/>
      <c r="L14" s="1"/>
      <c r="M14" s="1"/>
      <c r="N14" s="1"/>
      <c r="O14" s="1"/>
      <c r="P14" s="11"/>
      <c r="Q14" s="22" t="s">
        <v>31</v>
      </c>
      <c r="R14" s="23" t="n">
        <v>0.25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34.3" hidden="false" customHeight="false" outlineLevel="0" collapsed="false">
      <c r="A15" s="1"/>
      <c r="B15" s="6"/>
      <c r="C15" s="7" t="s">
        <v>32</v>
      </c>
      <c r="D15" s="12" t="n">
        <f aca="false">D14*D35</f>
        <v>6750</v>
      </c>
      <c r="E15" s="1"/>
      <c r="F15" s="1"/>
      <c r="G15" s="1"/>
      <c r="H15" s="20" t="s">
        <v>33</v>
      </c>
      <c r="I15" s="21" t="n">
        <v>0</v>
      </c>
      <c r="J15" s="21"/>
      <c r="K15" s="1"/>
      <c r="L15" s="1"/>
      <c r="M15" s="1"/>
      <c r="N15" s="1"/>
      <c r="O15" s="1"/>
      <c r="P15" s="11"/>
      <c r="Q15" s="7" t="s">
        <v>34</v>
      </c>
      <c r="R15" s="24" t="n">
        <f aca="false">MAX(0,1-R13-R14)</f>
        <v>0.15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7.9" hidden="false" customHeight="false" outlineLevel="0" collapsed="false">
      <c r="A16" s="1"/>
      <c r="B16" s="6"/>
      <c r="C16" s="13" t="s">
        <v>35</v>
      </c>
      <c r="D16" s="15" t="n">
        <v>0.06</v>
      </c>
      <c r="E16" s="1"/>
      <c r="F16" s="1"/>
      <c r="G16" s="1"/>
      <c r="H16" s="20" t="s">
        <v>36</v>
      </c>
      <c r="I16" s="21" t="n">
        <v>0</v>
      </c>
      <c r="J16" s="21"/>
      <c r="K16" s="1"/>
      <c r="L16" s="1"/>
      <c r="M16" s="1"/>
      <c r="N16" s="1"/>
      <c r="O16" s="1"/>
      <c r="P16" s="11"/>
      <c r="Q16" s="22" t="s">
        <v>37</v>
      </c>
      <c r="R16" s="23" t="n">
        <v>0.015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34.3" hidden="false" customHeight="false" outlineLevel="0" collapsed="false">
      <c r="A17" s="1"/>
      <c r="B17" s="6"/>
      <c r="C17" s="7" t="s">
        <v>38</v>
      </c>
      <c r="D17" s="8" t="n">
        <f aca="false">D11*D19</f>
        <v>5.625</v>
      </c>
      <c r="E17" s="1"/>
      <c r="F17" s="1"/>
      <c r="G17" s="1"/>
      <c r="H17" s="20" t="s">
        <v>39</v>
      </c>
      <c r="I17" s="21" t="n">
        <v>0</v>
      </c>
      <c r="J17" s="21"/>
      <c r="K17" s="1"/>
      <c r="L17" s="1"/>
      <c r="M17" s="1"/>
      <c r="N17" s="1"/>
      <c r="O17" s="1"/>
      <c r="P17" s="11"/>
      <c r="Q17" s="22" t="s">
        <v>40</v>
      </c>
      <c r="R17" s="23" t="n">
        <v>0.18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7.9" hidden="false" customHeight="false" outlineLevel="0" collapsed="false">
      <c r="A18" s="1"/>
      <c r="B18" s="6"/>
      <c r="C18" s="7" t="s">
        <v>41</v>
      </c>
      <c r="D18" s="12" t="n">
        <f aca="false">D17*D35</f>
        <v>1687.5</v>
      </c>
      <c r="E18" s="1"/>
      <c r="F18" s="1"/>
      <c r="G18" s="1"/>
      <c r="H18" s="20" t="s">
        <v>42</v>
      </c>
      <c r="I18" s="21" t="n">
        <v>0</v>
      </c>
      <c r="J18" s="21"/>
      <c r="K18" s="1"/>
      <c r="L18" s="1"/>
      <c r="M18" s="1"/>
      <c r="N18" s="1"/>
      <c r="O18" s="1"/>
      <c r="P18" s="11"/>
      <c r="Q18" s="22" t="s">
        <v>43</v>
      </c>
      <c r="R18" s="25" t="n">
        <v>3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7.9" hidden="false" customHeight="false" outlineLevel="0" collapsed="false">
      <c r="A19" s="1"/>
      <c r="B19" s="6"/>
      <c r="C19" s="13" t="s">
        <v>44</v>
      </c>
      <c r="D19" s="15" t="n">
        <v>0.015</v>
      </c>
      <c r="E19" s="1"/>
      <c r="F19" s="1"/>
      <c r="G19" s="1"/>
      <c r="H19" s="20" t="s">
        <v>45</v>
      </c>
      <c r="I19" s="21" t="n">
        <v>0</v>
      </c>
      <c r="J19" s="21"/>
      <c r="K19" s="1"/>
      <c r="L19" s="1"/>
      <c r="M19" s="1"/>
      <c r="N19" s="1"/>
      <c r="O19" s="1"/>
      <c r="P19" s="11"/>
      <c r="Q19" s="22" t="s">
        <v>46</v>
      </c>
      <c r="R19" s="23" t="n">
        <v>0.4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7.9" hidden="false" customHeight="false" outlineLevel="0" collapsed="false">
      <c r="A20" s="1"/>
      <c r="B20" s="6"/>
      <c r="C20" s="7" t="s">
        <v>47</v>
      </c>
      <c r="D20" s="8" t="n">
        <f aca="false">D11*D21</f>
        <v>7.5</v>
      </c>
      <c r="E20" s="1"/>
      <c r="F20" s="1"/>
      <c r="G20" s="1"/>
      <c r="H20" s="20" t="s">
        <v>48</v>
      </c>
      <c r="I20" s="21" t="n">
        <v>0</v>
      </c>
      <c r="J20" s="21"/>
      <c r="K20" s="1"/>
      <c r="L20" s="1"/>
      <c r="M20" s="1"/>
      <c r="N20" s="1"/>
      <c r="O20" s="1"/>
      <c r="P20" s="11"/>
      <c r="Q20" s="22" t="s">
        <v>49</v>
      </c>
      <c r="R20" s="23" t="n">
        <v>0.15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7.9" hidden="false" customHeight="false" outlineLevel="0" collapsed="false">
      <c r="A21" s="1"/>
      <c r="B21" s="6"/>
      <c r="C21" s="13" t="s">
        <v>50</v>
      </c>
      <c r="D21" s="15" t="n">
        <v>0.02</v>
      </c>
      <c r="E21" s="1"/>
      <c r="F21" s="1"/>
      <c r="G21" s="1"/>
      <c r="H21" s="20" t="s">
        <v>51</v>
      </c>
      <c r="I21" s="21" t="n">
        <v>0</v>
      </c>
      <c r="J21" s="21"/>
      <c r="K21" s="1"/>
      <c r="L21" s="1"/>
      <c r="M21" s="1"/>
      <c r="N21" s="1"/>
      <c r="O21" s="1"/>
      <c r="P21" s="11"/>
      <c r="Q21" s="22" t="s">
        <v>52</v>
      </c>
      <c r="R21" s="23" t="n">
        <v>0.05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7.9" hidden="false" customHeight="true" outlineLevel="0" collapsed="false">
      <c r="A22" s="1"/>
      <c r="B22" s="6" t="s">
        <v>53</v>
      </c>
      <c r="C22" s="7" t="s">
        <v>54</v>
      </c>
      <c r="D22" s="8" t="n">
        <f aca="false">D14+D20</f>
        <v>30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"/>
      <c r="Q22" s="7" t="s">
        <v>55</v>
      </c>
      <c r="R22" s="12" t="n">
        <f aca="false">R11*(R13*(1-R16)+R14*(1-R17)+R15*IF(ROUND(R18,0)&lt;=1,1,R19)*(1-R16))-R11*R21</f>
        <v>6321.06999474947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34.3" hidden="false" customHeight="false" outlineLevel="0" collapsed="false">
      <c r="A23" s="1"/>
      <c r="B23" s="6"/>
      <c r="C23" s="7" t="s">
        <v>56</v>
      </c>
      <c r="D23" s="12" t="n">
        <f aca="false">D22*D35</f>
        <v>9000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1"/>
      <c r="Q23" s="7" t="s">
        <v>57</v>
      </c>
      <c r="R23" s="12" t="n">
        <f aca="false">R11*R15*(1-IF(ROUND(R18,0)&lt;=1,1,R19))*(1-R20)*(1-R16)</f>
        <v>591.613994260787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34.3" hidden="false" customHeight="false" outlineLevel="0" collapsed="false">
      <c r="A24" s="1"/>
      <c r="B24" s="6"/>
      <c r="C24" s="13" t="s">
        <v>58</v>
      </c>
      <c r="D24" s="15" t="n">
        <v>0.7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1"/>
      <c r="Q24" s="7" t="s">
        <v>59</v>
      </c>
      <c r="R24" s="12" t="n">
        <f aca="false">R11-R22-R23</f>
        <v>938.601559057647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7.9" hidden="false" customHeight="false" outlineLevel="0" collapsed="false">
      <c r="A25" s="1"/>
      <c r="B25" s="6"/>
      <c r="C25" s="7" t="s">
        <v>60</v>
      </c>
      <c r="D25" s="8" t="n">
        <f aca="false">D24*D20</f>
        <v>5.25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1"/>
      <c r="Q25" s="18" t="s">
        <v>61</v>
      </c>
      <c r="R25" s="19" t="n">
        <f aca="false">R22+R23</f>
        <v>6912.68398901026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7.9" hidden="false" customHeight="true" outlineLevel="0" collapsed="false">
      <c r="A26" s="1"/>
      <c r="B26" s="6"/>
      <c r="C26" s="13" t="s">
        <v>62</v>
      </c>
      <c r="D26" s="15" t="n">
        <v>0.35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1" t="s">
        <v>63</v>
      </c>
      <c r="Q26" s="7" t="s">
        <v>64</v>
      </c>
      <c r="R26" s="12" t="n">
        <f aca="false">I74</f>
        <v>5000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7.9" hidden="false" customHeight="false" outlineLevel="0" collapsed="false">
      <c r="A27" s="1"/>
      <c r="B27" s="6"/>
      <c r="C27" s="7" t="s">
        <v>65</v>
      </c>
      <c r="D27" s="8" t="n">
        <f aca="false">D26*D14</f>
        <v>7.875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1"/>
      <c r="Q27" s="22" t="s">
        <v>66</v>
      </c>
      <c r="R27" s="26" t="n">
        <v>1300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34.3" hidden="false" customHeight="false" outlineLevel="0" collapsed="false">
      <c r="A28" s="1"/>
      <c r="B28" s="6"/>
      <c r="C28" s="13" t="s">
        <v>67</v>
      </c>
      <c r="D28" s="27" t="n">
        <v>0.00446281523417396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1"/>
      <c r="Q28" s="22" t="s">
        <v>68</v>
      </c>
      <c r="R28" s="26" t="n">
        <v>130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7.9" hidden="false" customHeight="false" outlineLevel="0" collapsed="false">
      <c r="A29" s="1"/>
      <c r="B29" s="6"/>
      <c r="C29" s="7" t="s">
        <v>69</v>
      </c>
      <c r="D29" s="8" t="n">
        <f aca="false">D28*MAX(0,D8-D14-D17-D20)</f>
        <v>5.41953125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1"/>
      <c r="Q29" s="22" t="s">
        <v>70</v>
      </c>
      <c r="R29" s="26" t="n">
        <v>300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7.9" hidden="false" customHeight="true" outlineLevel="0" collapsed="false">
      <c r="A30" s="1"/>
      <c r="B30" s="6" t="s">
        <v>71</v>
      </c>
      <c r="C30" s="7" t="s">
        <v>72</v>
      </c>
      <c r="D30" s="8" t="n">
        <f aca="false">D29+D27+D25</f>
        <v>18.54453125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1"/>
      <c r="Q30" s="22" t="s">
        <v>73</v>
      </c>
      <c r="R30" s="23" t="n">
        <v>0.1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34.3" hidden="false" customHeight="false" outlineLevel="0" collapsed="false">
      <c r="A31" s="1"/>
      <c r="B31" s="6"/>
      <c r="C31" s="7" t="s">
        <v>74</v>
      </c>
      <c r="D31" s="12" t="n">
        <f aca="false">D30*D35</f>
        <v>5563.359375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1"/>
      <c r="Q31" s="22" t="s">
        <v>75</v>
      </c>
      <c r="R31" s="26" t="n">
        <v>1500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7.9" hidden="false" customHeight="false" outlineLevel="0" collapsed="false">
      <c r="A32" s="1"/>
      <c r="B32" s="6"/>
      <c r="C32" s="13" t="s">
        <v>76</v>
      </c>
      <c r="D32" s="28" t="n">
        <v>5000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1"/>
      <c r="Q32" s="22" t="s">
        <v>77</v>
      </c>
      <c r="R32" s="26" t="n">
        <v>150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7.9" hidden="false" customHeight="false" outlineLevel="0" collapsed="false">
      <c r="A33" s="1"/>
      <c r="B33" s="6"/>
      <c r="C33" s="7" t="s">
        <v>78</v>
      </c>
      <c r="D33" s="29" t="n">
        <f aca="false">IF(D32&gt;0,D34/D32,0)</f>
        <v>1.450171875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1"/>
      <c r="Q33" s="22" t="s">
        <v>79</v>
      </c>
      <c r="R33" s="26" t="n">
        <v>15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7.9" hidden="false" customHeight="false" outlineLevel="0" collapsed="false">
      <c r="A34" s="1"/>
      <c r="B34" s="6"/>
      <c r="C34" s="18" t="s">
        <v>80</v>
      </c>
      <c r="D34" s="19" t="n">
        <f aca="false">D31+D18</f>
        <v>7250.859375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1"/>
      <c r="Q34" s="22" t="s">
        <v>81</v>
      </c>
      <c r="R34" s="23" t="n">
        <v>0.04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7.9" hidden="false" customHeight="false" outlineLevel="0" collapsed="false">
      <c r="A35" s="1"/>
      <c r="B35" s="6"/>
      <c r="C35" s="13" t="s">
        <v>82</v>
      </c>
      <c r="D35" s="28" t="n">
        <v>300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1"/>
      <c r="Q35" s="22" t="s">
        <v>83</v>
      </c>
      <c r="R35" s="25" t="n">
        <v>2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34.3" hidden="false" customHeight="true" outlineLevel="0" collapsed="false">
      <c r="A36" s="1"/>
      <c r="B36" s="6" t="s">
        <v>84</v>
      </c>
      <c r="C36" s="13" t="s">
        <v>85</v>
      </c>
      <c r="D36" s="15" t="n">
        <v>0.25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1"/>
      <c r="Q36" s="18" t="s">
        <v>86</v>
      </c>
      <c r="R36" s="19" t="n">
        <f aca="false">R26+R27+(R28+R29+R32)*R35+R30*R10+R31+R33*R12+R34*R25</f>
        <v>10227.4751809869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7.9" hidden="false" customHeight="true" outlineLevel="0" collapsed="false">
      <c r="A37" s="1"/>
      <c r="B37" s="6"/>
      <c r="C37" s="18" t="s">
        <v>87</v>
      </c>
      <c r="D37" s="30" t="n">
        <f aca="false">D8*D36</f>
        <v>312.5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1" t="s">
        <v>88</v>
      </c>
      <c r="Q37" s="18" t="s">
        <v>89</v>
      </c>
      <c r="R37" s="19" t="n">
        <f aca="false">R25-R36</f>
        <v>-3314.79119197665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7.9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1"/>
      <c r="Q38" s="18" t="s">
        <v>90</v>
      </c>
      <c r="R38" s="31" t="str">
        <f aca="false">IF(R37&gt;=0,"ДА","НЕТ")</f>
        <v>НЕТ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34.3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1"/>
      <c r="Q39" s="7" t="s">
        <v>91</v>
      </c>
      <c r="R39" s="29" t="n">
        <f aca="false">IF(R36&gt;0,R25/R36,0)</f>
        <v>0.675893499293069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7.9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1"/>
      <c r="Q40" s="7" t="s">
        <v>92</v>
      </c>
      <c r="R40" s="29" t="n">
        <f aca="false">IF(R26&gt;0,R11/R26,0)</f>
        <v>1.57025710961358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7.9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1"/>
      <c r="Q41" s="7" t="s">
        <v>93</v>
      </c>
      <c r="R41" s="12" t="n">
        <f aca="false">R37+R27</f>
        <v>-2014.79119197665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7.9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1"/>
      <c r="Q42" s="7" t="s">
        <v>94</v>
      </c>
      <c r="R42" s="12" t="n">
        <f aca="false">R26+R27+R31+R28+R29+R32</f>
        <v>8380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/>
      <c r="B45" s="32" t="s">
        <v>95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1"/>
      <c r="P45" s="4" t="s">
        <v>96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1"/>
      <c r="AD45" s="1"/>
    </row>
    <row r="46" customFormat="false" ht="15.75" hidden="false" customHeight="false" outlineLevel="0" collapsed="false">
      <c r="A46" s="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1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1"/>
      <c r="AD46" s="1"/>
    </row>
    <row r="47" customFormat="false" ht="15.7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7.9" hidden="false" customHeight="true" outlineLevel="0" collapsed="false">
      <c r="A49" s="1"/>
      <c r="B49" s="33" t="s">
        <v>97</v>
      </c>
      <c r="C49" s="33"/>
      <c r="D49" s="33"/>
      <c r="E49" s="1"/>
      <c r="F49" s="1"/>
      <c r="G49" s="34" t="s">
        <v>98</v>
      </c>
      <c r="H49" s="34"/>
      <c r="I49" s="34"/>
      <c r="J49" s="1"/>
      <c r="K49" s="1"/>
      <c r="L49" s="35" t="s">
        <v>99</v>
      </c>
      <c r="M49" s="35"/>
      <c r="N49" s="35"/>
      <c r="O49" s="1"/>
      <c r="P49" s="33" t="s">
        <v>97</v>
      </c>
      <c r="Q49" s="33"/>
      <c r="R49" s="33"/>
      <c r="S49" s="1"/>
      <c r="T49" s="1"/>
      <c r="U49" s="36" t="s">
        <v>100</v>
      </c>
      <c r="V49" s="36"/>
      <c r="W49" s="36"/>
      <c r="X49" s="1"/>
      <c r="Y49" s="1"/>
      <c r="Z49" s="37" t="s">
        <v>99</v>
      </c>
      <c r="AA49" s="37"/>
      <c r="AB49" s="37"/>
      <c r="AC49" s="1"/>
      <c r="AD49" s="1"/>
    </row>
    <row r="50" customFormat="false" ht="17.9" hidden="false" customHeight="true" outlineLevel="0" collapsed="false">
      <c r="A50" s="1"/>
      <c r="B50" s="6" t="s">
        <v>7</v>
      </c>
      <c r="C50" s="7" t="s">
        <v>8</v>
      </c>
      <c r="D50" s="8" t="n">
        <f aca="false">IF(D51&gt;0,D74/D51,0)</f>
        <v>640</v>
      </c>
      <c r="E50" s="1"/>
      <c r="F50" s="1"/>
      <c r="G50" s="6" t="s">
        <v>7</v>
      </c>
      <c r="H50" s="7" t="s">
        <v>8</v>
      </c>
      <c r="I50" s="8" t="n">
        <f aca="false">D8</f>
        <v>1250</v>
      </c>
      <c r="J50" s="1"/>
      <c r="K50" s="1"/>
      <c r="L50" s="6" t="s">
        <v>7</v>
      </c>
      <c r="M50" s="7" t="s">
        <v>8</v>
      </c>
      <c r="N50" s="8" t="n">
        <f aca="false">IF(N51&gt;0,N74/N51,0)</f>
        <v>2500</v>
      </c>
      <c r="O50" s="1"/>
      <c r="P50" s="11" t="s">
        <v>101</v>
      </c>
      <c r="Q50" s="7" t="s">
        <v>102</v>
      </c>
      <c r="R50" s="8" t="n">
        <f aca="false">D79</f>
        <v>96</v>
      </c>
      <c r="S50" s="1"/>
      <c r="T50" s="1"/>
      <c r="U50" s="11" t="s">
        <v>101</v>
      </c>
      <c r="V50" s="7" t="s">
        <v>102</v>
      </c>
      <c r="W50" s="8" t="n">
        <f aca="false">I79</f>
        <v>312.5</v>
      </c>
      <c r="X50" s="1"/>
      <c r="Y50" s="1"/>
      <c r="Z50" s="11" t="s">
        <v>101</v>
      </c>
      <c r="AA50" s="7" t="s">
        <v>102</v>
      </c>
      <c r="AB50" s="8" t="n">
        <f aca="false">N79</f>
        <v>750</v>
      </c>
      <c r="AC50" s="1"/>
      <c r="AD50" s="1"/>
    </row>
    <row r="51" customFormat="false" ht="17.9" hidden="false" customHeight="false" outlineLevel="0" collapsed="false">
      <c r="A51" s="1"/>
      <c r="B51" s="6"/>
      <c r="C51" s="13" t="s">
        <v>14</v>
      </c>
      <c r="D51" s="14" t="n">
        <v>7.8125</v>
      </c>
      <c r="E51" s="1"/>
      <c r="F51" s="1"/>
      <c r="G51" s="6"/>
      <c r="H51" s="7" t="s">
        <v>14</v>
      </c>
      <c r="I51" s="38" t="n">
        <f aca="false">D9</f>
        <v>4</v>
      </c>
      <c r="J51" s="1"/>
      <c r="K51" s="1"/>
      <c r="L51" s="6"/>
      <c r="M51" s="13" t="s">
        <v>14</v>
      </c>
      <c r="N51" s="14" t="n">
        <v>2</v>
      </c>
      <c r="O51" s="1"/>
      <c r="P51" s="11"/>
      <c r="Q51" s="22" t="s">
        <v>103</v>
      </c>
      <c r="R51" s="39" t="n">
        <v>0</v>
      </c>
      <c r="S51" s="1"/>
      <c r="T51" s="1"/>
      <c r="U51" s="11"/>
      <c r="V51" s="22" t="s">
        <v>103</v>
      </c>
      <c r="W51" s="39" t="n">
        <v>0</v>
      </c>
      <c r="X51" s="1"/>
      <c r="Y51" s="1"/>
      <c r="Z51" s="11"/>
      <c r="AA51" s="22" t="s">
        <v>103</v>
      </c>
      <c r="AB51" s="39" t="n">
        <v>0</v>
      </c>
      <c r="AC51" s="1"/>
      <c r="AD51" s="1"/>
    </row>
    <row r="52" customFormat="false" ht="17.9" hidden="false" customHeight="false" outlineLevel="0" collapsed="false">
      <c r="A52" s="1"/>
      <c r="B52" s="6"/>
      <c r="C52" s="13" t="s">
        <v>16</v>
      </c>
      <c r="D52" s="15" t="n">
        <v>0.2</v>
      </c>
      <c r="E52" s="1"/>
      <c r="F52" s="1"/>
      <c r="G52" s="6"/>
      <c r="H52" s="7" t="s">
        <v>16</v>
      </c>
      <c r="I52" s="24" t="n">
        <f aca="false">D10</f>
        <v>0.3</v>
      </c>
      <c r="J52" s="1"/>
      <c r="K52" s="1"/>
      <c r="L52" s="6"/>
      <c r="M52" s="13" t="s">
        <v>16</v>
      </c>
      <c r="N52" s="15" t="n">
        <v>0.4</v>
      </c>
      <c r="O52" s="1"/>
      <c r="P52" s="11"/>
      <c r="Q52" s="22" t="s">
        <v>104</v>
      </c>
      <c r="R52" s="39" t="n">
        <v>100</v>
      </c>
      <c r="S52" s="1"/>
      <c r="T52" s="1"/>
      <c r="U52" s="11"/>
      <c r="V52" s="22" t="s">
        <v>104</v>
      </c>
      <c r="W52" s="39" t="n">
        <v>200</v>
      </c>
      <c r="X52" s="1"/>
      <c r="Y52" s="1"/>
      <c r="Z52" s="11"/>
      <c r="AA52" s="22" t="s">
        <v>104</v>
      </c>
      <c r="AB52" s="39" t="n">
        <v>300</v>
      </c>
      <c r="AC52" s="1"/>
      <c r="AD52" s="1"/>
    </row>
    <row r="53" customFormat="false" ht="17.9" hidden="false" customHeight="false" outlineLevel="0" collapsed="false">
      <c r="A53" s="1"/>
      <c r="B53" s="6"/>
      <c r="C53" s="7" t="s">
        <v>19</v>
      </c>
      <c r="D53" s="8" t="n">
        <f aca="false">D50*D52</f>
        <v>128</v>
      </c>
      <c r="E53" s="1"/>
      <c r="F53" s="1"/>
      <c r="G53" s="6"/>
      <c r="H53" s="7" t="s">
        <v>19</v>
      </c>
      <c r="I53" s="8" t="n">
        <f aca="false">I50*I52</f>
        <v>375</v>
      </c>
      <c r="J53" s="1"/>
      <c r="K53" s="1"/>
      <c r="L53" s="6"/>
      <c r="M53" s="7" t="s">
        <v>19</v>
      </c>
      <c r="N53" s="8" t="n">
        <f aca="false">N50*N52</f>
        <v>1000</v>
      </c>
      <c r="O53" s="1"/>
      <c r="P53" s="11"/>
      <c r="Q53" s="22" t="s">
        <v>105</v>
      </c>
      <c r="R53" s="23" t="n">
        <v>0.15</v>
      </c>
      <c r="S53" s="1"/>
      <c r="T53" s="1"/>
      <c r="U53" s="11"/>
      <c r="V53" s="22" t="s">
        <v>105</v>
      </c>
      <c r="W53" s="23" t="n">
        <v>0.1</v>
      </c>
      <c r="X53" s="1"/>
      <c r="Y53" s="1"/>
      <c r="Z53" s="11"/>
      <c r="AA53" s="22" t="s">
        <v>105</v>
      </c>
      <c r="AB53" s="23" t="n">
        <v>0.08</v>
      </c>
      <c r="AC53" s="1"/>
      <c r="AD53" s="1"/>
    </row>
    <row r="54" customFormat="false" ht="17.9" hidden="false" customHeight="false" outlineLevel="0" collapsed="false">
      <c r="A54" s="1"/>
      <c r="B54" s="6"/>
      <c r="C54" s="7" t="s">
        <v>22</v>
      </c>
      <c r="D54" s="8" t="n">
        <f aca="false">D53*D55</f>
        <v>76.8</v>
      </c>
      <c r="E54" s="1"/>
      <c r="F54" s="1"/>
      <c r="G54" s="6"/>
      <c r="H54" s="7" t="s">
        <v>22</v>
      </c>
      <c r="I54" s="8" t="n">
        <f aca="false">I53*I55</f>
        <v>225</v>
      </c>
      <c r="J54" s="1"/>
      <c r="K54" s="1"/>
      <c r="L54" s="6"/>
      <c r="M54" s="7" t="s">
        <v>22</v>
      </c>
      <c r="N54" s="8" t="n">
        <f aca="false">N53*N55</f>
        <v>600</v>
      </c>
      <c r="O54" s="1"/>
      <c r="P54" s="11"/>
      <c r="Q54" s="7" t="s">
        <v>106</v>
      </c>
      <c r="R54" s="8" t="n">
        <f aca="false">(D72+D59)*D78</f>
        <v>0.78432</v>
      </c>
      <c r="S54" s="1"/>
      <c r="T54" s="1"/>
      <c r="U54" s="11"/>
      <c r="V54" s="7" t="s">
        <v>106</v>
      </c>
      <c r="W54" s="8" t="n">
        <f aca="false">(I72+I59)*I78</f>
        <v>6.0423828125</v>
      </c>
      <c r="X54" s="1"/>
      <c r="Y54" s="1"/>
      <c r="Z54" s="11"/>
      <c r="AA54" s="7" t="s">
        <v>106</v>
      </c>
      <c r="AB54" s="8" t="n">
        <f aca="false">(N72+N59)*N78</f>
        <v>30.165</v>
      </c>
      <c r="AC54" s="1"/>
      <c r="AD54" s="1"/>
    </row>
    <row r="55" customFormat="false" ht="34.3" hidden="false" customHeight="false" outlineLevel="0" collapsed="false">
      <c r="A55" s="1"/>
      <c r="B55" s="6"/>
      <c r="C55" s="13" t="s">
        <v>25</v>
      </c>
      <c r="D55" s="15" t="n">
        <v>0.6</v>
      </c>
      <c r="E55" s="1"/>
      <c r="F55" s="1"/>
      <c r="G55" s="6"/>
      <c r="H55" s="7" t="s">
        <v>25</v>
      </c>
      <c r="I55" s="24" t="n">
        <f aca="false">D13</f>
        <v>0.6</v>
      </c>
      <c r="J55" s="1"/>
      <c r="K55" s="1"/>
      <c r="L55" s="6"/>
      <c r="M55" s="13" t="s">
        <v>25</v>
      </c>
      <c r="N55" s="15" t="n">
        <v>0.6</v>
      </c>
      <c r="O55" s="1"/>
      <c r="P55" s="11"/>
      <c r="Q55" s="7" t="s">
        <v>107</v>
      </c>
      <c r="R55" s="8" t="n">
        <f aca="false">MAX(0,(R51+R50+R52)*(1-R53)-R54)</f>
        <v>165.81568</v>
      </c>
      <c r="S55" s="1"/>
      <c r="T55" s="1"/>
      <c r="U55" s="11"/>
      <c r="V55" s="7" t="s">
        <v>107</v>
      </c>
      <c r="W55" s="8" t="n">
        <f aca="false">MAX(0,(W51+W50+W52)*(1-W53)-W54)</f>
        <v>455.2076171875</v>
      </c>
      <c r="X55" s="1"/>
      <c r="Y55" s="1"/>
      <c r="Z55" s="11"/>
      <c r="AA55" s="7" t="s">
        <v>107</v>
      </c>
      <c r="AB55" s="8" t="n">
        <f aca="false">MAX(0,(AB51+AB50+AB52)*(1-AB53)-AB54)</f>
        <v>935.835</v>
      </c>
      <c r="AC55" s="1"/>
      <c r="AD55" s="1"/>
    </row>
    <row r="56" customFormat="false" ht="34.3" hidden="false" customHeight="false" outlineLevel="0" collapsed="false">
      <c r="A56" s="1"/>
      <c r="B56" s="6"/>
      <c r="C56" s="7" t="s">
        <v>29</v>
      </c>
      <c r="D56" s="8" t="n">
        <f aca="false">D53*D58</f>
        <v>6.4</v>
      </c>
      <c r="E56" s="1"/>
      <c r="F56" s="1"/>
      <c r="G56" s="6"/>
      <c r="H56" s="7" t="s">
        <v>29</v>
      </c>
      <c r="I56" s="8" t="n">
        <f aca="false">I53*I58</f>
        <v>22.5</v>
      </c>
      <c r="J56" s="1"/>
      <c r="K56" s="1"/>
      <c r="L56" s="6"/>
      <c r="M56" s="7" t="s">
        <v>29</v>
      </c>
      <c r="N56" s="8" t="n">
        <f aca="false">N53*N58</f>
        <v>80</v>
      </c>
      <c r="O56" s="1"/>
      <c r="P56" s="11"/>
      <c r="Q56" s="7" t="s">
        <v>108</v>
      </c>
      <c r="R56" s="8" t="n">
        <f aca="false">R55*R57</f>
        <v>16.581568</v>
      </c>
      <c r="S56" s="1"/>
      <c r="T56" s="1"/>
      <c r="U56" s="11"/>
      <c r="V56" s="7" t="s">
        <v>108</v>
      </c>
      <c r="W56" s="8" t="n">
        <f aca="false">W55*W57</f>
        <v>68.281142578125</v>
      </c>
      <c r="X56" s="1"/>
      <c r="Y56" s="1"/>
      <c r="Z56" s="11"/>
      <c r="AA56" s="7" t="s">
        <v>108</v>
      </c>
      <c r="AB56" s="8" t="n">
        <f aca="false">AB55*AB57</f>
        <v>187.167</v>
      </c>
      <c r="AC56" s="1"/>
      <c r="AD56" s="1"/>
    </row>
    <row r="57" customFormat="false" ht="34.3" hidden="false" customHeight="false" outlineLevel="0" collapsed="false">
      <c r="A57" s="1"/>
      <c r="B57" s="6"/>
      <c r="C57" s="7" t="s">
        <v>32</v>
      </c>
      <c r="D57" s="12" t="n">
        <f aca="false">D56*D77</f>
        <v>1920</v>
      </c>
      <c r="E57" s="1"/>
      <c r="F57" s="1"/>
      <c r="G57" s="6"/>
      <c r="H57" s="7" t="s">
        <v>32</v>
      </c>
      <c r="I57" s="12" t="n">
        <f aca="false">I56*I77</f>
        <v>6750</v>
      </c>
      <c r="J57" s="1"/>
      <c r="K57" s="1"/>
      <c r="L57" s="6"/>
      <c r="M57" s="7" t="s">
        <v>32</v>
      </c>
      <c r="N57" s="12" t="n">
        <f aca="false">N56*N77</f>
        <v>24000</v>
      </c>
      <c r="O57" s="1"/>
      <c r="P57" s="11"/>
      <c r="Q57" s="22" t="s">
        <v>109</v>
      </c>
      <c r="R57" s="23" t="n">
        <v>0.1</v>
      </c>
      <c r="S57" s="1"/>
      <c r="T57" s="1"/>
      <c r="U57" s="11"/>
      <c r="V57" s="22" t="s">
        <v>109</v>
      </c>
      <c r="W57" s="23" t="n">
        <v>0.15</v>
      </c>
      <c r="X57" s="1"/>
      <c r="Y57" s="1"/>
      <c r="Z57" s="11"/>
      <c r="AA57" s="22" t="s">
        <v>109</v>
      </c>
      <c r="AB57" s="23" t="n">
        <v>0.2</v>
      </c>
      <c r="AC57" s="1"/>
      <c r="AD57" s="1"/>
    </row>
    <row r="58" customFormat="false" ht="17.9" hidden="false" customHeight="true" outlineLevel="0" collapsed="false">
      <c r="A58" s="1"/>
      <c r="B58" s="6"/>
      <c r="C58" s="13" t="s">
        <v>35</v>
      </c>
      <c r="D58" s="15" t="n">
        <v>0.05</v>
      </c>
      <c r="E58" s="1"/>
      <c r="F58" s="1"/>
      <c r="G58" s="6"/>
      <c r="H58" s="7" t="s">
        <v>35</v>
      </c>
      <c r="I58" s="24" t="n">
        <f aca="false">D16</f>
        <v>0.06</v>
      </c>
      <c r="J58" s="1"/>
      <c r="K58" s="1"/>
      <c r="L58" s="6"/>
      <c r="M58" s="13" t="s">
        <v>35</v>
      </c>
      <c r="N58" s="15" t="n">
        <v>0.08</v>
      </c>
      <c r="O58" s="1"/>
      <c r="P58" s="11" t="s">
        <v>110</v>
      </c>
      <c r="Q58" s="7" t="s">
        <v>111</v>
      </c>
      <c r="R58" s="8" t="n">
        <f aca="false">R56*R59*R60</f>
        <v>3.19195184</v>
      </c>
      <c r="S58" s="1"/>
      <c r="T58" s="1"/>
      <c r="U58" s="11" t="s">
        <v>110</v>
      </c>
      <c r="V58" s="7" t="s">
        <v>111</v>
      </c>
      <c r="W58" s="8" t="n">
        <f aca="false">W56*W59*W60</f>
        <v>19.9722342041016</v>
      </c>
      <c r="X58" s="1"/>
      <c r="Y58" s="1"/>
      <c r="Z58" s="11" t="s">
        <v>110</v>
      </c>
      <c r="AA58" s="7" t="s">
        <v>111</v>
      </c>
      <c r="AB58" s="8" t="n">
        <f aca="false">AB56*AB59*AB60</f>
        <v>72.059295</v>
      </c>
      <c r="AC58" s="1"/>
      <c r="AD58" s="1"/>
    </row>
    <row r="59" customFormat="false" ht="17.9" hidden="false" customHeight="false" outlineLevel="0" collapsed="false">
      <c r="A59" s="1"/>
      <c r="B59" s="6"/>
      <c r="C59" s="7" t="s">
        <v>38</v>
      </c>
      <c r="D59" s="8" t="n">
        <f aca="false">D53*D61</f>
        <v>1.28</v>
      </c>
      <c r="E59" s="1"/>
      <c r="F59" s="1"/>
      <c r="G59" s="6"/>
      <c r="H59" s="7" t="s">
        <v>38</v>
      </c>
      <c r="I59" s="8" t="n">
        <f aca="false">I53*I61</f>
        <v>5.625</v>
      </c>
      <c r="J59" s="1"/>
      <c r="K59" s="1"/>
      <c r="L59" s="6"/>
      <c r="M59" s="7" t="s">
        <v>38</v>
      </c>
      <c r="N59" s="8" t="n">
        <f aca="false">N53*N61</f>
        <v>20</v>
      </c>
      <c r="O59" s="1"/>
      <c r="P59" s="11"/>
      <c r="Q59" s="22" t="s">
        <v>112</v>
      </c>
      <c r="R59" s="23" t="n">
        <v>0.35</v>
      </c>
      <c r="S59" s="1"/>
      <c r="T59" s="1"/>
      <c r="U59" s="11"/>
      <c r="V59" s="22" t="s">
        <v>112</v>
      </c>
      <c r="W59" s="23" t="n">
        <v>0.45</v>
      </c>
      <c r="X59" s="1"/>
      <c r="Y59" s="1"/>
      <c r="Z59" s="11"/>
      <c r="AA59" s="22" t="s">
        <v>112</v>
      </c>
      <c r="AB59" s="23" t="n">
        <v>0.55</v>
      </c>
      <c r="AC59" s="1"/>
      <c r="AD59" s="1"/>
    </row>
    <row r="60" customFormat="false" ht="34.3" hidden="false" customHeight="false" outlineLevel="0" collapsed="false">
      <c r="A60" s="1"/>
      <c r="B60" s="6"/>
      <c r="C60" s="7" t="s">
        <v>41</v>
      </c>
      <c r="D60" s="12" t="n">
        <f aca="false">D59*D77</f>
        <v>384</v>
      </c>
      <c r="E60" s="1"/>
      <c r="F60" s="1"/>
      <c r="G60" s="6"/>
      <c r="H60" s="7" t="s">
        <v>41</v>
      </c>
      <c r="I60" s="12" t="n">
        <f aca="false">I59*I77</f>
        <v>1687.5</v>
      </c>
      <c r="J60" s="1"/>
      <c r="K60" s="1"/>
      <c r="L60" s="6"/>
      <c r="M60" s="7" t="s">
        <v>41</v>
      </c>
      <c r="N60" s="12" t="n">
        <f aca="false">N59*N77</f>
        <v>6000</v>
      </c>
      <c r="O60" s="1"/>
      <c r="P60" s="11"/>
      <c r="Q60" s="22" t="s">
        <v>113</v>
      </c>
      <c r="R60" s="23" t="n">
        <v>0.55</v>
      </c>
      <c r="S60" s="1"/>
      <c r="T60" s="1"/>
      <c r="U60" s="11"/>
      <c r="V60" s="22" t="s">
        <v>113</v>
      </c>
      <c r="W60" s="23" t="n">
        <v>0.65</v>
      </c>
      <c r="X60" s="1"/>
      <c r="Y60" s="1"/>
      <c r="Z60" s="11"/>
      <c r="AA60" s="22" t="s">
        <v>113</v>
      </c>
      <c r="AB60" s="23" t="n">
        <v>0.7</v>
      </c>
      <c r="AC60" s="1"/>
      <c r="AD60" s="1"/>
    </row>
    <row r="61" customFormat="false" ht="17.9" hidden="false" customHeight="false" outlineLevel="0" collapsed="false">
      <c r="A61" s="1"/>
      <c r="B61" s="6"/>
      <c r="C61" s="13" t="s">
        <v>44</v>
      </c>
      <c r="D61" s="15" t="n">
        <v>0.01</v>
      </c>
      <c r="E61" s="1"/>
      <c r="F61" s="1"/>
      <c r="G61" s="6"/>
      <c r="H61" s="7" t="s">
        <v>44</v>
      </c>
      <c r="I61" s="24" t="n">
        <f aca="false">D19</f>
        <v>0.015</v>
      </c>
      <c r="J61" s="1"/>
      <c r="K61" s="1"/>
      <c r="L61" s="6"/>
      <c r="M61" s="13" t="s">
        <v>44</v>
      </c>
      <c r="N61" s="15" t="n">
        <v>0.02</v>
      </c>
      <c r="O61" s="1"/>
      <c r="P61" s="11"/>
      <c r="Q61" s="7" t="s">
        <v>114</v>
      </c>
      <c r="R61" s="8" t="n">
        <f aca="false">R58*R62</f>
        <v>0.0638390368</v>
      </c>
      <c r="S61" s="1"/>
      <c r="T61" s="1"/>
      <c r="U61" s="11"/>
      <c r="V61" s="7" t="s">
        <v>114</v>
      </c>
      <c r="W61" s="8" t="n">
        <f aca="false">W58*W62</f>
        <v>0.599167026123047</v>
      </c>
      <c r="X61" s="1"/>
      <c r="Y61" s="1"/>
      <c r="Z61" s="11"/>
      <c r="AA61" s="7" t="s">
        <v>114</v>
      </c>
      <c r="AB61" s="8" t="n">
        <f aca="false">AB58*AB62</f>
        <v>2.8823718</v>
      </c>
      <c r="AC61" s="1"/>
      <c r="AD61" s="1"/>
    </row>
    <row r="62" customFormat="false" ht="17.9" hidden="false" customHeight="false" outlineLevel="0" collapsed="false">
      <c r="A62" s="1"/>
      <c r="B62" s="6"/>
      <c r="C62" s="7" t="s">
        <v>47</v>
      </c>
      <c r="D62" s="8" t="n">
        <f aca="false">D53*D63</f>
        <v>1.92</v>
      </c>
      <c r="E62" s="1"/>
      <c r="F62" s="1"/>
      <c r="G62" s="6"/>
      <c r="H62" s="7" t="s">
        <v>47</v>
      </c>
      <c r="I62" s="8" t="n">
        <f aca="false">I53*I63</f>
        <v>7.5</v>
      </c>
      <c r="J62" s="1"/>
      <c r="K62" s="1"/>
      <c r="L62" s="6"/>
      <c r="M62" s="7" t="s">
        <v>47</v>
      </c>
      <c r="N62" s="8" t="n">
        <f aca="false">N53*N63</f>
        <v>30</v>
      </c>
      <c r="O62" s="1"/>
      <c r="P62" s="11"/>
      <c r="Q62" s="22" t="s">
        <v>115</v>
      </c>
      <c r="R62" s="23" t="n">
        <v>0.02</v>
      </c>
      <c r="S62" s="1"/>
      <c r="T62" s="1"/>
      <c r="U62" s="11"/>
      <c r="V62" s="22" t="s">
        <v>115</v>
      </c>
      <c r="W62" s="23" t="n">
        <v>0.03</v>
      </c>
      <c r="X62" s="1"/>
      <c r="Y62" s="1"/>
      <c r="Z62" s="11"/>
      <c r="AA62" s="22" t="s">
        <v>115</v>
      </c>
      <c r="AB62" s="23" t="n">
        <v>0.04</v>
      </c>
      <c r="AC62" s="1"/>
      <c r="AD62" s="1"/>
    </row>
    <row r="63" customFormat="false" ht="17.9" hidden="false" customHeight="false" outlineLevel="0" collapsed="false">
      <c r="A63" s="1"/>
      <c r="B63" s="6"/>
      <c r="C63" s="13" t="s">
        <v>50</v>
      </c>
      <c r="D63" s="15" t="n">
        <v>0.015</v>
      </c>
      <c r="E63" s="1"/>
      <c r="F63" s="1"/>
      <c r="G63" s="6"/>
      <c r="H63" s="7" t="s">
        <v>50</v>
      </c>
      <c r="I63" s="24" t="n">
        <f aca="false">D21</f>
        <v>0.02</v>
      </c>
      <c r="J63" s="1"/>
      <c r="K63" s="1"/>
      <c r="L63" s="6"/>
      <c r="M63" s="13" t="s">
        <v>50</v>
      </c>
      <c r="N63" s="15" t="n">
        <v>0.03</v>
      </c>
      <c r="O63" s="1"/>
      <c r="P63" s="11"/>
      <c r="Q63" s="7" t="s">
        <v>116</v>
      </c>
      <c r="R63" s="8" t="n">
        <f aca="false">R58*R64</f>
        <v>0.0957585552</v>
      </c>
      <c r="S63" s="1"/>
      <c r="T63" s="1"/>
      <c r="U63" s="11"/>
      <c r="V63" s="7" t="s">
        <v>116</v>
      </c>
      <c r="W63" s="8" t="n">
        <f aca="false">W58*W64</f>
        <v>0.798889368164062</v>
      </c>
      <c r="X63" s="1"/>
      <c r="Y63" s="1"/>
      <c r="Z63" s="11"/>
      <c r="AA63" s="7" t="s">
        <v>116</v>
      </c>
      <c r="AB63" s="8" t="n">
        <f aca="false">AB58*AB64</f>
        <v>3.60296475</v>
      </c>
      <c r="AC63" s="1"/>
      <c r="AD63" s="1"/>
    </row>
    <row r="64" customFormat="false" ht="17.9" hidden="false" customHeight="true" outlineLevel="0" collapsed="false">
      <c r="A64" s="1"/>
      <c r="B64" s="6" t="s">
        <v>53</v>
      </c>
      <c r="C64" s="7" t="s">
        <v>54</v>
      </c>
      <c r="D64" s="8" t="n">
        <f aca="false">D56+D62</f>
        <v>8.32</v>
      </c>
      <c r="E64" s="1"/>
      <c r="F64" s="1"/>
      <c r="G64" s="6" t="s">
        <v>53</v>
      </c>
      <c r="H64" s="7" t="s">
        <v>54</v>
      </c>
      <c r="I64" s="8" t="n">
        <f aca="false">I56+I62</f>
        <v>30</v>
      </c>
      <c r="J64" s="1"/>
      <c r="K64" s="1"/>
      <c r="L64" s="6" t="s">
        <v>53</v>
      </c>
      <c r="M64" s="7" t="s">
        <v>54</v>
      </c>
      <c r="N64" s="8" t="n">
        <f aca="false">N56+N62</f>
        <v>110</v>
      </c>
      <c r="O64" s="1"/>
      <c r="P64" s="11"/>
      <c r="Q64" s="22" t="s">
        <v>117</v>
      </c>
      <c r="R64" s="23" t="n">
        <v>0.03</v>
      </c>
      <c r="S64" s="1"/>
      <c r="T64" s="1"/>
      <c r="U64" s="11"/>
      <c r="V64" s="22" t="s">
        <v>117</v>
      </c>
      <c r="W64" s="23" t="n">
        <v>0.04</v>
      </c>
      <c r="X64" s="1"/>
      <c r="Y64" s="1"/>
      <c r="Z64" s="11"/>
      <c r="AA64" s="22" t="s">
        <v>117</v>
      </c>
      <c r="AB64" s="23" t="n">
        <v>0.05</v>
      </c>
      <c r="AC64" s="1"/>
      <c r="AD64" s="1"/>
    </row>
    <row r="65" customFormat="false" ht="17.9" hidden="false" customHeight="false" outlineLevel="0" collapsed="false">
      <c r="A65" s="1"/>
      <c r="B65" s="6"/>
      <c r="C65" s="7" t="s">
        <v>56</v>
      </c>
      <c r="D65" s="12" t="n">
        <f aca="false">D64*D77</f>
        <v>2496</v>
      </c>
      <c r="E65" s="1"/>
      <c r="F65" s="1"/>
      <c r="G65" s="6"/>
      <c r="H65" s="7" t="s">
        <v>56</v>
      </c>
      <c r="I65" s="12" t="n">
        <f aca="false">I64*I77</f>
        <v>9000</v>
      </c>
      <c r="J65" s="1"/>
      <c r="K65" s="1"/>
      <c r="L65" s="6"/>
      <c r="M65" s="7" t="s">
        <v>56</v>
      </c>
      <c r="N65" s="12" t="n">
        <f aca="false">N64*N77</f>
        <v>33000</v>
      </c>
      <c r="O65" s="1"/>
      <c r="P65" s="11"/>
      <c r="Q65" s="7" t="s">
        <v>118</v>
      </c>
      <c r="R65" s="8" t="n">
        <f aca="false">R58*R66</f>
        <v>0.1915171104</v>
      </c>
      <c r="S65" s="1"/>
      <c r="T65" s="1"/>
      <c r="U65" s="11"/>
      <c r="V65" s="7" t="s">
        <v>118</v>
      </c>
      <c r="W65" s="8" t="n">
        <f aca="false">W58*W66</f>
        <v>1.59777873632812</v>
      </c>
      <c r="X65" s="1"/>
      <c r="Y65" s="1"/>
      <c r="Z65" s="11"/>
      <c r="AA65" s="7" t="s">
        <v>118</v>
      </c>
      <c r="AB65" s="8" t="n">
        <f aca="false">AB58*AB66</f>
        <v>7.2059295</v>
      </c>
      <c r="AC65" s="1"/>
      <c r="AD65" s="1"/>
    </row>
    <row r="66" customFormat="false" ht="17.9" hidden="false" customHeight="false" outlineLevel="0" collapsed="false">
      <c r="A66" s="1"/>
      <c r="B66" s="6"/>
      <c r="C66" s="13" t="s">
        <v>58</v>
      </c>
      <c r="D66" s="15" t="n">
        <v>0.6</v>
      </c>
      <c r="E66" s="1"/>
      <c r="F66" s="1"/>
      <c r="G66" s="6"/>
      <c r="H66" s="7" t="s">
        <v>58</v>
      </c>
      <c r="I66" s="24" t="n">
        <f aca="false">D24</f>
        <v>0.7</v>
      </c>
      <c r="J66" s="1"/>
      <c r="K66" s="1"/>
      <c r="L66" s="6"/>
      <c r="M66" s="13" t="s">
        <v>58</v>
      </c>
      <c r="N66" s="15" t="n">
        <v>0.8</v>
      </c>
      <c r="O66" s="1"/>
      <c r="P66" s="11"/>
      <c r="Q66" s="22" t="s">
        <v>119</v>
      </c>
      <c r="R66" s="23" t="n">
        <v>0.06</v>
      </c>
      <c r="S66" s="1"/>
      <c r="T66" s="1"/>
      <c r="U66" s="11"/>
      <c r="V66" s="22" t="s">
        <v>119</v>
      </c>
      <c r="W66" s="23" t="n">
        <v>0.08</v>
      </c>
      <c r="X66" s="1"/>
      <c r="Y66" s="1"/>
      <c r="Z66" s="11"/>
      <c r="AA66" s="22" t="s">
        <v>119</v>
      </c>
      <c r="AB66" s="23" t="n">
        <v>0.1</v>
      </c>
      <c r="AC66" s="1"/>
      <c r="AD66" s="1"/>
    </row>
    <row r="67" customFormat="false" ht="17.9" hidden="false" customHeight="false" outlineLevel="0" collapsed="false">
      <c r="A67" s="1"/>
      <c r="B67" s="6"/>
      <c r="C67" s="7" t="s">
        <v>60</v>
      </c>
      <c r="D67" s="8" t="n">
        <f aca="false">D66*D62</f>
        <v>1.152</v>
      </c>
      <c r="E67" s="1"/>
      <c r="F67" s="1"/>
      <c r="G67" s="6"/>
      <c r="H67" s="7" t="s">
        <v>60</v>
      </c>
      <c r="I67" s="8" t="n">
        <f aca="false">I66*I62</f>
        <v>5.25</v>
      </c>
      <c r="J67" s="1"/>
      <c r="K67" s="1"/>
      <c r="L67" s="6"/>
      <c r="M67" s="7" t="s">
        <v>60</v>
      </c>
      <c r="N67" s="8" t="n">
        <f aca="false">N66*N62</f>
        <v>24</v>
      </c>
      <c r="O67" s="1"/>
      <c r="P67" s="11"/>
      <c r="Q67" s="7" t="s">
        <v>120</v>
      </c>
      <c r="R67" s="8" t="n">
        <f aca="false">R63+R65</f>
        <v>0.2872756656</v>
      </c>
      <c r="S67" s="1"/>
      <c r="T67" s="1"/>
      <c r="U67" s="11"/>
      <c r="V67" s="7" t="s">
        <v>120</v>
      </c>
      <c r="W67" s="8" t="n">
        <f aca="false">W63+W65</f>
        <v>2.39666810449219</v>
      </c>
      <c r="X67" s="1"/>
      <c r="Y67" s="1"/>
      <c r="Z67" s="11"/>
      <c r="AA67" s="7" t="s">
        <v>120</v>
      </c>
      <c r="AB67" s="8" t="n">
        <f aca="false">AB63+AB65</f>
        <v>10.80889425</v>
      </c>
      <c r="AC67" s="1"/>
      <c r="AD67" s="1"/>
    </row>
    <row r="68" customFormat="false" ht="17.9" hidden="false" customHeight="true" outlineLevel="0" collapsed="false">
      <c r="A68" s="1"/>
      <c r="B68" s="6"/>
      <c r="C68" s="13" t="s">
        <v>62</v>
      </c>
      <c r="D68" s="15" t="n">
        <v>0.25</v>
      </c>
      <c r="E68" s="1"/>
      <c r="F68" s="1"/>
      <c r="G68" s="6"/>
      <c r="H68" s="7" t="s">
        <v>62</v>
      </c>
      <c r="I68" s="24" t="n">
        <f aca="false">D26</f>
        <v>0.35</v>
      </c>
      <c r="J68" s="1"/>
      <c r="K68" s="1"/>
      <c r="L68" s="6"/>
      <c r="M68" s="13" t="s">
        <v>62</v>
      </c>
      <c r="N68" s="15" t="n">
        <v>0.45</v>
      </c>
      <c r="O68" s="1"/>
      <c r="P68" s="11" t="s">
        <v>53</v>
      </c>
      <c r="Q68" s="22" t="s">
        <v>58</v>
      </c>
      <c r="R68" s="23" t="n">
        <v>0.6</v>
      </c>
      <c r="S68" s="1"/>
      <c r="T68" s="1"/>
      <c r="U68" s="11" t="s">
        <v>53</v>
      </c>
      <c r="V68" s="22" t="s">
        <v>58</v>
      </c>
      <c r="W68" s="23" t="n">
        <v>0.7</v>
      </c>
      <c r="X68" s="1"/>
      <c r="Y68" s="1"/>
      <c r="Z68" s="11" t="s">
        <v>53</v>
      </c>
      <c r="AA68" s="22" t="s">
        <v>58</v>
      </c>
      <c r="AB68" s="23" t="n">
        <v>0.8</v>
      </c>
      <c r="AC68" s="1"/>
      <c r="AD68" s="1"/>
    </row>
    <row r="69" customFormat="false" ht="17.9" hidden="false" customHeight="false" outlineLevel="0" collapsed="false">
      <c r="A69" s="1"/>
      <c r="B69" s="6"/>
      <c r="C69" s="7" t="s">
        <v>65</v>
      </c>
      <c r="D69" s="8" t="n">
        <f aca="false">D68*D56</f>
        <v>1.6</v>
      </c>
      <c r="E69" s="1"/>
      <c r="F69" s="1"/>
      <c r="G69" s="6"/>
      <c r="H69" s="7" t="s">
        <v>65</v>
      </c>
      <c r="I69" s="8" t="n">
        <f aca="false">I68*I56</f>
        <v>7.875</v>
      </c>
      <c r="J69" s="1"/>
      <c r="K69" s="1"/>
      <c r="L69" s="6"/>
      <c r="M69" s="7" t="s">
        <v>65</v>
      </c>
      <c r="N69" s="8" t="n">
        <f aca="false">N68*N56</f>
        <v>36</v>
      </c>
      <c r="O69" s="1"/>
      <c r="P69" s="11"/>
      <c r="Q69" s="7" t="s">
        <v>60</v>
      </c>
      <c r="R69" s="8" t="n">
        <f aca="false">R63*R68</f>
        <v>0.05745513312</v>
      </c>
      <c r="S69" s="1"/>
      <c r="T69" s="1"/>
      <c r="U69" s="11"/>
      <c r="V69" s="7" t="s">
        <v>60</v>
      </c>
      <c r="W69" s="8" t="n">
        <f aca="false">W63*W68</f>
        <v>0.559222557714844</v>
      </c>
      <c r="X69" s="1"/>
      <c r="Y69" s="1"/>
      <c r="Z69" s="11"/>
      <c r="AA69" s="7" t="s">
        <v>60</v>
      </c>
      <c r="AB69" s="8" t="n">
        <f aca="false">AB63*AB68</f>
        <v>2.8823718</v>
      </c>
      <c r="AC69" s="1"/>
      <c r="AD69" s="1"/>
    </row>
    <row r="70" customFormat="false" ht="34.3" hidden="false" customHeight="false" outlineLevel="0" collapsed="false">
      <c r="A70" s="1"/>
      <c r="B70" s="6"/>
      <c r="C70" s="13" t="s">
        <v>67</v>
      </c>
      <c r="D70" s="27" t="n">
        <v>0.00189847715736041</v>
      </c>
      <c r="E70" s="1"/>
      <c r="F70" s="1"/>
      <c r="G70" s="6"/>
      <c r="H70" s="7" t="s">
        <v>67</v>
      </c>
      <c r="I70" s="40" t="n">
        <f aca="false">D28</f>
        <v>0.00446281523417396</v>
      </c>
      <c r="J70" s="1"/>
      <c r="K70" s="1"/>
      <c r="L70" s="6"/>
      <c r="M70" s="13" t="s">
        <v>67</v>
      </c>
      <c r="N70" s="27" t="n">
        <v>0.00867088607594937</v>
      </c>
      <c r="O70" s="1"/>
      <c r="P70" s="11"/>
      <c r="Q70" s="22" t="s">
        <v>62</v>
      </c>
      <c r="R70" s="23" t="n">
        <v>0.25</v>
      </c>
      <c r="S70" s="1"/>
      <c r="T70" s="1"/>
      <c r="U70" s="11"/>
      <c r="V70" s="22" t="s">
        <v>62</v>
      </c>
      <c r="W70" s="23" t="n">
        <v>0.35</v>
      </c>
      <c r="X70" s="1"/>
      <c r="Y70" s="1"/>
      <c r="Z70" s="11"/>
      <c r="AA70" s="22" t="s">
        <v>62</v>
      </c>
      <c r="AB70" s="23" t="n">
        <v>0.45</v>
      </c>
      <c r="AC70" s="1"/>
      <c r="AD70" s="1"/>
    </row>
    <row r="71" customFormat="false" ht="17.9" hidden="false" customHeight="false" outlineLevel="0" collapsed="false">
      <c r="A71" s="1"/>
      <c r="B71" s="6"/>
      <c r="C71" s="7" t="s">
        <v>69</v>
      </c>
      <c r="D71" s="8" t="n">
        <f aca="false">D70*MAX(0,D50-D56-D59-D62)</f>
        <v>1.1968</v>
      </c>
      <c r="E71" s="1"/>
      <c r="F71" s="1"/>
      <c r="G71" s="6"/>
      <c r="H71" s="7" t="s">
        <v>69</v>
      </c>
      <c r="I71" s="8" t="n">
        <f aca="false">I70*MAX(0,I50-I56-I59-I62)</f>
        <v>5.41953125</v>
      </c>
      <c r="J71" s="1"/>
      <c r="K71" s="1"/>
      <c r="L71" s="6"/>
      <c r="M71" s="7" t="s">
        <v>69</v>
      </c>
      <c r="N71" s="8" t="n">
        <f aca="false">N70*MAX(0,N50-N56-N59-N62)</f>
        <v>20.55</v>
      </c>
      <c r="O71" s="1"/>
      <c r="P71" s="11"/>
      <c r="Q71" s="7" t="s">
        <v>65</v>
      </c>
      <c r="R71" s="8" t="n">
        <f aca="false">R65*R70</f>
        <v>0.0478792776</v>
      </c>
      <c r="S71" s="1"/>
      <c r="T71" s="1"/>
      <c r="U71" s="11"/>
      <c r="V71" s="7" t="s">
        <v>65</v>
      </c>
      <c r="W71" s="8" t="n">
        <f aca="false">W65*W70</f>
        <v>0.559222557714844</v>
      </c>
      <c r="X71" s="1"/>
      <c r="Y71" s="1"/>
      <c r="Z71" s="11"/>
      <c r="AA71" s="7" t="s">
        <v>65</v>
      </c>
      <c r="AB71" s="8" t="n">
        <f aca="false">AB65*AB70</f>
        <v>3.242668275</v>
      </c>
      <c r="AC71" s="1"/>
      <c r="AD71" s="1"/>
    </row>
    <row r="72" customFormat="false" ht="34.3" hidden="false" customHeight="true" outlineLevel="0" collapsed="false">
      <c r="A72" s="1"/>
      <c r="B72" s="6" t="s">
        <v>71</v>
      </c>
      <c r="C72" s="7" t="s">
        <v>72</v>
      </c>
      <c r="D72" s="8" t="n">
        <f aca="false">D71+D69+D67</f>
        <v>3.9488</v>
      </c>
      <c r="E72" s="1"/>
      <c r="F72" s="1"/>
      <c r="G72" s="6" t="s">
        <v>71</v>
      </c>
      <c r="H72" s="7" t="s">
        <v>72</v>
      </c>
      <c r="I72" s="8" t="n">
        <f aca="false">I71+I69+I67</f>
        <v>18.54453125</v>
      </c>
      <c r="J72" s="1"/>
      <c r="K72" s="1"/>
      <c r="L72" s="6" t="s">
        <v>71</v>
      </c>
      <c r="M72" s="7" t="s">
        <v>72</v>
      </c>
      <c r="N72" s="8" t="n">
        <f aca="false">N71+N69+N67</f>
        <v>80.55</v>
      </c>
      <c r="O72" s="1"/>
      <c r="P72" s="11"/>
      <c r="Q72" s="22" t="s">
        <v>121</v>
      </c>
      <c r="R72" s="41" t="n">
        <v>0.00185909636554032</v>
      </c>
      <c r="S72" s="1"/>
      <c r="T72" s="1"/>
      <c r="U72" s="11"/>
      <c r="V72" s="22" t="s">
        <v>121</v>
      </c>
      <c r="W72" s="41" t="n">
        <v>0.00434720224865996</v>
      </c>
      <c r="X72" s="1"/>
      <c r="Y72" s="1"/>
      <c r="Z72" s="11"/>
      <c r="AA72" s="22" t="s">
        <v>121</v>
      </c>
      <c r="AB72" s="41" t="n">
        <v>0.00836462210713708</v>
      </c>
      <c r="AC72" s="1"/>
      <c r="AD72" s="1"/>
    </row>
    <row r="73" customFormat="false" ht="34.3" hidden="false" customHeight="false" outlineLevel="0" collapsed="false">
      <c r="A73" s="1"/>
      <c r="B73" s="6"/>
      <c r="C73" s="7" t="s">
        <v>74</v>
      </c>
      <c r="D73" s="12" t="n">
        <f aca="false">D72*D77</f>
        <v>1184.64</v>
      </c>
      <c r="E73" s="1"/>
      <c r="F73" s="1"/>
      <c r="G73" s="6"/>
      <c r="H73" s="7" t="s">
        <v>74</v>
      </c>
      <c r="I73" s="12" t="n">
        <f aca="false">I72*I77</f>
        <v>5563.359375</v>
      </c>
      <c r="J73" s="1"/>
      <c r="K73" s="1"/>
      <c r="L73" s="6"/>
      <c r="M73" s="7" t="s">
        <v>74</v>
      </c>
      <c r="N73" s="12" t="n">
        <f aca="false">N72*N77</f>
        <v>24165</v>
      </c>
      <c r="O73" s="1"/>
      <c r="P73" s="11"/>
      <c r="Q73" s="7" t="s">
        <v>122</v>
      </c>
      <c r="R73" s="8" t="n">
        <f aca="false">MAX(0,R56-R61-R63-R65)*R72</f>
        <v>0.03017397673664</v>
      </c>
      <c r="S73" s="1"/>
      <c r="T73" s="1"/>
      <c r="U73" s="11"/>
      <c r="V73" s="7" t="s">
        <v>122</v>
      </c>
      <c r="W73" s="8" t="n">
        <f aca="false">MAX(0,W56-W61-W63-W65)*W72</f>
        <v>0.283808435340271</v>
      </c>
      <c r="X73" s="1"/>
      <c r="Y73" s="1"/>
      <c r="Z73" s="11"/>
      <c r="AA73" s="7" t="s">
        <v>122</v>
      </c>
      <c r="AB73" s="8" t="n">
        <f aca="false">MAX(0,AB56-AB61-AB63-AB65)*AB72</f>
        <v>1.45105895925</v>
      </c>
      <c r="AC73" s="1"/>
      <c r="AD73" s="1"/>
    </row>
    <row r="74" customFormat="false" ht="17.9" hidden="false" customHeight="true" outlineLevel="0" collapsed="false">
      <c r="A74" s="1"/>
      <c r="B74" s="6"/>
      <c r="C74" s="13" t="s">
        <v>76</v>
      </c>
      <c r="D74" s="28" t="n">
        <v>5000</v>
      </c>
      <c r="E74" s="1"/>
      <c r="F74" s="1"/>
      <c r="G74" s="6"/>
      <c r="H74" s="7" t="s">
        <v>76</v>
      </c>
      <c r="I74" s="12" t="n">
        <f aca="false">D32</f>
        <v>5000</v>
      </c>
      <c r="J74" s="1"/>
      <c r="K74" s="1"/>
      <c r="L74" s="6"/>
      <c r="M74" s="13" t="s">
        <v>76</v>
      </c>
      <c r="N74" s="28" t="n">
        <v>5000</v>
      </c>
      <c r="O74" s="1"/>
      <c r="P74" s="11" t="s">
        <v>71</v>
      </c>
      <c r="Q74" s="18" t="s">
        <v>123</v>
      </c>
      <c r="R74" s="30" t="n">
        <f aca="false">R73+R71+R69</f>
        <v>0.13550838745664</v>
      </c>
      <c r="S74" s="1"/>
      <c r="T74" s="1"/>
      <c r="U74" s="11" t="s">
        <v>71</v>
      </c>
      <c r="V74" s="18" t="s">
        <v>123</v>
      </c>
      <c r="W74" s="30" t="n">
        <f aca="false">W73+W71+W69</f>
        <v>1.40225355076996</v>
      </c>
      <c r="X74" s="1"/>
      <c r="Y74" s="1"/>
      <c r="Z74" s="11" t="s">
        <v>71</v>
      </c>
      <c r="AA74" s="18" t="s">
        <v>123</v>
      </c>
      <c r="AB74" s="30" t="n">
        <f aca="false">AB73+AB71+AB69</f>
        <v>7.57609903425</v>
      </c>
      <c r="AC74" s="1"/>
      <c r="AD74" s="1"/>
    </row>
    <row r="75" customFormat="false" ht="17.9" hidden="false" customHeight="false" outlineLevel="0" collapsed="false">
      <c r="A75" s="1"/>
      <c r="B75" s="6"/>
      <c r="C75" s="7" t="s">
        <v>78</v>
      </c>
      <c r="D75" s="29" t="n">
        <f aca="false">IF(D74&gt;0,D76/D74,0)</f>
        <v>0.313728</v>
      </c>
      <c r="E75" s="1"/>
      <c r="F75" s="1"/>
      <c r="G75" s="6"/>
      <c r="H75" s="7" t="s">
        <v>78</v>
      </c>
      <c r="I75" s="29" t="n">
        <f aca="false">IF(I74&gt;0,I76/I74,0)</f>
        <v>1.450171875</v>
      </c>
      <c r="J75" s="1"/>
      <c r="K75" s="1"/>
      <c r="L75" s="6"/>
      <c r="M75" s="7" t="s">
        <v>78</v>
      </c>
      <c r="N75" s="29" t="n">
        <f aca="false">IF(N74&gt;0,N76/N74,0)</f>
        <v>6.033</v>
      </c>
      <c r="O75" s="1"/>
      <c r="P75" s="11"/>
      <c r="Q75" s="18" t="s">
        <v>124</v>
      </c>
      <c r="R75" s="19" t="n">
        <f aca="false">R74*R78</f>
        <v>40.652516236992</v>
      </c>
      <c r="S75" s="1"/>
      <c r="T75" s="1"/>
      <c r="U75" s="11"/>
      <c r="V75" s="18" t="s">
        <v>124</v>
      </c>
      <c r="W75" s="19" t="n">
        <f aca="false">W74*W78</f>
        <v>420.676065230988</v>
      </c>
      <c r="X75" s="1"/>
      <c r="Y75" s="1"/>
      <c r="Z75" s="11"/>
      <c r="AA75" s="18" t="s">
        <v>124</v>
      </c>
      <c r="AB75" s="19" t="n">
        <f aca="false">AB74*AB78</f>
        <v>2272.829710275</v>
      </c>
      <c r="AC75" s="1"/>
      <c r="AD75" s="1"/>
    </row>
    <row r="76" customFormat="false" ht="17.9" hidden="false" customHeight="false" outlineLevel="0" collapsed="false">
      <c r="A76" s="1"/>
      <c r="B76" s="6"/>
      <c r="C76" s="18" t="s">
        <v>80</v>
      </c>
      <c r="D76" s="19" t="n">
        <f aca="false">D73+D60</f>
        <v>1568.64</v>
      </c>
      <c r="E76" s="1"/>
      <c r="F76" s="1"/>
      <c r="G76" s="6"/>
      <c r="H76" s="18" t="s">
        <v>80</v>
      </c>
      <c r="I76" s="19" t="n">
        <f aca="false">I73+I60</f>
        <v>7250.859375</v>
      </c>
      <c r="J76" s="1"/>
      <c r="K76" s="1"/>
      <c r="L76" s="6"/>
      <c r="M76" s="18" t="s">
        <v>80</v>
      </c>
      <c r="N76" s="19" t="n">
        <f aca="false">N73+N60</f>
        <v>30165</v>
      </c>
      <c r="O76" s="1"/>
      <c r="P76" s="11"/>
      <c r="Q76" s="18" t="s">
        <v>125</v>
      </c>
      <c r="R76" s="30" t="n">
        <f aca="false">R61</f>
        <v>0.0638390368</v>
      </c>
      <c r="S76" s="1"/>
      <c r="T76" s="1"/>
      <c r="U76" s="11"/>
      <c r="V76" s="18" t="s">
        <v>125</v>
      </c>
      <c r="W76" s="30" t="n">
        <f aca="false">W61</f>
        <v>0.599167026123047</v>
      </c>
      <c r="X76" s="1"/>
      <c r="Y76" s="1"/>
      <c r="Z76" s="11"/>
      <c r="AA76" s="18" t="s">
        <v>125</v>
      </c>
      <c r="AB76" s="30" t="n">
        <f aca="false">AB61</f>
        <v>2.8823718</v>
      </c>
      <c r="AC76" s="1"/>
      <c r="AD76" s="1"/>
    </row>
    <row r="77" customFormat="false" ht="17.9" hidden="false" customHeight="false" outlineLevel="0" collapsed="false">
      <c r="A77" s="1"/>
      <c r="B77" s="6"/>
      <c r="C77" s="13" t="s">
        <v>82</v>
      </c>
      <c r="D77" s="28" t="n">
        <v>300</v>
      </c>
      <c r="E77" s="1"/>
      <c r="F77" s="1"/>
      <c r="G77" s="6"/>
      <c r="H77" s="7" t="s">
        <v>82</v>
      </c>
      <c r="I77" s="12" t="n">
        <f aca="false">D35</f>
        <v>300</v>
      </c>
      <c r="J77" s="1"/>
      <c r="K77" s="1"/>
      <c r="L77" s="6"/>
      <c r="M77" s="13" t="s">
        <v>82</v>
      </c>
      <c r="N77" s="28" t="n">
        <v>300</v>
      </c>
      <c r="O77" s="1"/>
      <c r="P77" s="11"/>
      <c r="Q77" s="18" t="s">
        <v>126</v>
      </c>
      <c r="R77" s="30" t="n">
        <f aca="false">R74+R76</f>
        <v>0.19934742425664</v>
      </c>
      <c r="S77" s="1"/>
      <c r="T77" s="1"/>
      <c r="U77" s="11"/>
      <c r="V77" s="18" t="s">
        <v>126</v>
      </c>
      <c r="W77" s="30" t="n">
        <f aca="false">W74+W76</f>
        <v>2.00142057689301</v>
      </c>
      <c r="X77" s="1"/>
      <c r="Y77" s="1"/>
      <c r="Z77" s="11"/>
      <c r="AA77" s="18" t="s">
        <v>126</v>
      </c>
      <c r="AB77" s="30" t="n">
        <f aca="false">AB74+AB76</f>
        <v>10.45847083425</v>
      </c>
      <c r="AC77" s="1"/>
      <c r="AD77" s="1"/>
    </row>
    <row r="78" customFormat="false" ht="34.3" hidden="false" customHeight="true" outlineLevel="0" collapsed="false">
      <c r="A78" s="1"/>
      <c r="B78" s="6" t="s">
        <v>84</v>
      </c>
      <c r="C78" s="13" t="s">
        <v>85</v>
      </c>
      <c r="D78" s="15" t="n">
        <v>0.15</v>
      </c>
      <c r="E78" s="1"/>
      <c r="F78" s="1"/>
      <c r="G78" s="6" t="s">
        <v>84</v>
      </c>
      <c r="H78" s="7" t="s">
        <v>85</v>
      </c>
      <c r="I78" s="24" t="n">
        <f aca="false">D36</f>
        <v>0.25</v>
      </c>
      <c r="J78" s="1"/>
      <c r="K78" s="1"/>
      <c r="L78" s="6" t="s">
        <v>84</v>
      </c>
      <c r="M78" s="13" t="s">
        <v>85</v>
      </c>
      <c r="N78" s="15" t="n">
        <v>0.3</v>
      </c>
      <c r="O78" s="1"/>
      <c r="P78" s="11"/>
      <c r="Q78" s="18" t="s">
        <v>127</v>
      </c>
      <c r="R78" s="19" t="n">
        <v>300</v>
      </c>
      <c r="S78" s="1"/>
      <c r="T78" s="1"/>
      <c r="U78" s="11"/>
      <c r="V78" s="18" t="s">
        <v>127</v>
      </c>
      <c r="W78" s="19" t="n">
        <v>300</v>
      </c>
      <c r="X78" s="1"/>
      <c r="Y78" s="1"/>
      <c r="Z78" s="11"/>
      <c r="AA78" s="18" t="s">
        <v>127</v>
      </c>
      <c r="AB78" s="19" t="n">
        <v>300</v>
      </c>
      <c r="AC78" s="1"/>
      <c r="AD78" s="1"/>
    </row>
    <row r="79" customFormat="false" ht="17.9" hidden="false" customHeight="false" outlineLevel="0" collapsed="false">
      <c r="A79" s="1"/>
      <c r="B79" s="6"/>
      <c r="C79" s="18" t="s">
        <v>87</v>
      </c>
      <c r="D79" s="30" t="n">
        <f aca="false">D50*D78</f>
        <v>96</v>
      </c>
      <c r="E79" s="1"/>
      <c r="F79" s="1"/>
      <c r="G79" s="6"/>
      <c r="H79" s="18" t="s">
        <v>87</v>
      </c>
      <c r="I79" s="30" t="n">
        <f aca="false">I50*I78</f>
        <v>312.5</v>
      </c>
      <c r="J79" s="1"/>
      <c r="K79" s="1"/>
      <c r="L79" s="6"/>
      <c r="M79" s="18" t="s">
        <v>87</v>
      </c>
      <c r="N79" s="30" t="n">
        <f aca="false">N50*N78</f>
        <v>750</v>
      </c>
      <c r="O79" s="1"/>
      <c r="P79" s="11"/>
      <c r="Q79" s="18" t="s">
        <v>80</v>
      </c>
      <c r="R79" s="19" t="n">
        <f aca="false">R77*R78</f>
        <v>59.804227276992</v>
      </c>
      <c r="S79" s="1"/>
      <c r="T79" s="1"/>
      <c r="U79" s="11"/>
      <c r="V79" s="18" t="s">
        <v>80</v>
      </c>
      <c r="W79" s="19" t="n">
        <f aca="false">W77*W78</f>
        <v>600.426173067902</v>
      </c>
      <c r="X79" s="1"/>
      <c r="Y79" s="1"/>
      <c r="Z79" s="11"/>
      <c r="AA79" s="18" t="s">
        <v>80</v>
      </c>
      <c r="AB79" s="19" t="n">
        <f aca="false">AB77*AB78</f>
        <v>3137.541250275</v>
      </c>
      <c r="AC79" s="1"/>
      <c r="AD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</sheetData>
  <mergeCells count="49">
    <mergeCell ref="C3:AB3"/>
    <mergeCell ref="B5:N5"/>
    <mergeCell ref="P5:AB5"/>
    <mergeCell ref="B7:D7"/>
    <mergeCell ref="H7:J7"/>
    <mergeCell ref="P7:R7"/>
    <mergeCell ref="B8:B21"/>
    <mergeCell ref="H8:H9"/>
    <mergeCell ref="I8:I9"/>
    <mergeCell ref="J8:J9"/>
    <mergeCell ref="P8:P12"/>
    <mergeCell ref="P13:P25"/>
    <mergeCell ref="B22:B29"/>
    <mergeCell ref="P26:P36"/>
    <mergeCell ref="B30:B35"/>
    <mergeCell ref="B36:B37"/>
    <mergeCell ref="P37:P42"/>
    <mergeCell ref="B45:N46"/>
    <mergeCell ref="P45:AB46"/>
    <mergeCell ref="B49:D49"/>
    <mergeCell ref="G49:I49"/>
    <mergeCell ref="L49:N49"/>
    <mergeCell ref="P49:R49"/>
    <mergeCell ref="U49:W49"/>
    <mergeCell ref="Z49:AB49"/>
    <mergeCell ref="B50:B63"/>
    <mergeCell ref="G50:G63"/>
    <mergeCell ref="L50:L63"/>
    <mergeCell ref="P50:P57"/>
    <mergeCell ref="U50:U57"/>
    <mergeCell ref="Z50:Z57"/>
    <mergeCell ref="P58:P67"/>
    <mergeCell ref="U58:U67"/>
    <mergeCell ref="Z58:Z67"/>
    <mergeCell ref="B64:B71"/>
    <mergeCell ref="G64:G71"/>
    <mergeCell ref="L64:L71"/>
    <mergeCell ref="P68:P73"/>
    <mergeCell ref="U68:U73"/>
    <mergeCell ref="Z68:Z73"/>
    <mergeCell ref="B72:B77"/>
    <mergeCell ref="G72:G77"/>
    <mergeCell ref="L72:L77"/>
    <mergeCell ref="P74:P79"/>
    <mergeCell ref="U74:U79"/>
    <mergeCell ref="Z74:Z79"/>
    <mergeCell ref="B78:B79"/>
    <mergeCell ref="G78:G79"/>
    <mergeCell ref="L78:L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2026-09-16T19:46:12Z</dcterms:created>
  <dc:creator>openpyxl</dc:creator>
  <dc:description/>
  <dc:language>en-US</dc:language>
  <cp:lastModifiedBy/>
  <dcterms:modified xsi:type="dcterms:W3CDTF">2026-09-16T19:46:13Z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